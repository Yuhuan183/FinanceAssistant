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可比公司分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Comps Analysis</author>
  </authors>
  <commentList>
    <comment ref="B7" authorId="0">
      <text>
        <r>
          <rPr>
            <sz val="10"/>
            <rFont val="Arial"/>
            <family val="2"/>
          </rPr>
          <t xml:space="preserve">TSMC TTM </t>
        </r>
        <r>
          <rPr>
            <sz val="10"/>
            <rFont val="DejaVu Sans"/>
            <family val="2"/>
          </rPr>
          <t xml:space="preserve">營收（約截至 </t>
        </r>
        <r>
          <rPr>
            <sz val="10"/>
            <rFont val="Arial"/>
            <family val="2"/>
          </rPr>
          <t xml:space="preserve">2026 Q1</t>
        </r>
        <r>
          <rPr>
            <sz val="10"/>
            <rFont val="DejaVu Sans"/>
            <family val="2"/>
          </rPr>
          <t xml:space="preserve">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8" authorId="0">
      <text>
        <r>
          <rPr>
            <sz val="10"/>
            <rFont val="Arial"/>
            <family val="2"/>
          </rPr>
          <t xml:space="preserve">NVIDIA TTM </t>
        </r>
        <r>
          <rPr>
            <sz val="10"/>
            <rFont val="DejaVu Sans"/>
            <family val="2"/>
          </rPr>
          <t xml:space="preserve">營收（截至 </t>
        </r>
        <r>
          <rPr>
            <sz val="10"/>
            <rFont val="Arial"/>
            <family val="2"/>
          </rPr>
          <t xml:space="preserve">FY2026</t>
        </r>
        <r>
          <rPr>
            <sz val="10"/>
            <rFont val="DejaVu Sans"/>
            <family val="2"/>
          </rPr>
          <t xml:space="preserve">／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9" authorId="0">
      <text>
        <r>
          <rPr>
            <sz val="10"/>
            <rFont val="Arial"/>
            <family val="2"/>
          </rPr>
          <t xml:space="preserve">AMD TTM </t>
        </r>
        <r>
          <rPr>
            <sz val="10"/>
            <rFont val="DejaVu Sans"/>
            <family val="2"/>
          </rPr>
          <t xml:space="preserve">營收（截至 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10" authorId="0">
      <text>
        <r>
          <rPr>
            <sz val="10"/>
            <rFont val="Arial"/>
            <family val="2"/>
          </rPr>
          <t xml:space="preserve">Broadcom TTM </t>
        </r>
        <r>
          <rPr>
            <sz val="10"/>
            <rFont val="DejaVu Sans"/>
            <family val="2"/>
          </rPr>
          <t xml:space="preserve">營收（截至 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stockanalysis.com / macrotrends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11" authorId="0">
      <text>
        <r>
          <rPr>
            <sz val="10"/>
            <rFont val="Arial"/>
            <family val="2"/>
          </rPr>
          <t xml:space="preserve">ARM TTM </t>
        </r>
        <r>
          <rPr>
            <sz val="10"/>
            <rFont val="DejaVu Sans"/>
            <family val="2"/>
          </rPr>
          <t xml:space="preserve">營收（</t>
        </r>
        <r>
          <rPr>
            <sz val="10"/>
            <rFont val="Arial"/>
            <family val="2"/>
          </rPr>
          <t xml:space="preserve">FY2026</t>
        </r>
        <r>
          <rPr>
            <sz val="10"/>
            <rFont val="DejaVu Sans"/>
            <family val="2"/>
          </rPr>
          <t xml:space="preserve">，截至 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ARM </t>
        </r>
        <r>
          <rPr>
            <sz val="10"/>
            <rFont val="DejaVu Sans"/>
            <family val="2"/>
          </rPr>
          <t xml:space="preserve">官方財報，</t>
        </r>
        <r>
          <rPr>
            <sz val="10"/>
            <rFont val="Arial"/>
            <family val="2"/>
          </rPr>
          <t xml:space="preserve">2026-05-06</t>
        </r>
        <r>
          <rPr>
            <sz val="10"/>
            <rFont val="DejaVu Sans"/>
            <family val="2"/>
          </rPr>
          <t xml:space="preserve">。</t>
        </r>
      </text>
    </comment>
    <comment ref="B21" authorId="0">
      <text>
        <r>
          <rPr>
            <sz val="10"/>
            <rFont val="Arial"/>
            <family val="2"/>
          </rPr>
          <t xml:space="preserve">TSMC </t>
        </r>
        <r>
          <rPr>
            <sz val="10"/>
            <rFont val="DejaVu Sans"/>
            <family val="2"/>
          </rPr>
          <t xml:space="preserve">市值。來源：</t>
        </r>
        <r>
          <rPr>
            <sz val="10"/>
            <rFont val="Arial"/>
            <family val="2"/>
          </rPr>
          <t xml:space="preserve">companiesmarketcap.com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2026-04-27</t>
        </r>
        <r>
          <rPr>
            <sz val="10"/>
            <rFont val="DejaVu Sans"/>
            <family val="2"/>
          </rPr>
          <t xml:space="preserve">。</t>
        </r>
      </text>
    </comment>
    <comment ref="B22" authorId="0">
      <text>
        <r>
          <rPr>
            <sz val="10"/>
            <rFont val="Arial"/>
            <family val="2"/>
          </rPr>
          <t xml:space="preserve">NVIDIA </t>
        </r>
        <r>
          <rPr>
            <sz val="10"/>
            <rFont val="DejaVu Sans"/>
            <family val="2"/>
          </rPr>
          <t xml:space="preserve">市值（全球市值最大公司）。來源：市場行情，</t>
        </r>
        <r>
          <rPr>
            <sz val="10"/>
            <rFont val="Arial"/>
            <family val="2"/>
          </rPr>
          <t xml:space="preserve">2026-05-21</t>
        </r>
        <r>
          <rPr>
            <sz val="10"/>
            <rFont val="DejaVu Sans"/>
            <family val="2"/>
          </rPr>
          <t xml:space="preserve">。</t>
        </r>
      </text>
    </comment>
    <comment ref="B23" authorId="0">
      <text>
        <r>
          <rPr>
            <sz val="10"/>
            <rFont val="Arial"/>
            <family val="2"/>
          </rPr>
          <t xml:space="preserve">AMD </t>
        </r>
        <r>
          <rPr>
            <sz val="10"/>
            <rFont val="DejaVu Sans"/>
            <family val="2"/>
          </rPr>
          <t xml:space="preserve">市值。來源：市場行情，</t>
        </r>
        <r>
          <rPr>
            <sz val="10"/>
            <rFont val="Arial"/>
            <family val="2"/>
          </rPr>
          <t xml:space="preserve">2026-05-21</t>
        </r>
        <r>
          <rPr>
            <sz val="10"/>
            <rFont val="DejaVu Sans"/>
            <family val="2"/>
          </rPr>
          <t xml:space="preserve">。</t>
        </r>
      </text>
    </comment>
    <comment ref="B24" authorId="0">
      <text>
        <r>
          <rPr>
            <sz val="10"/>
            <rFont val="Arial"/>
            <family val="2"/>
          </rPr>
          <t xml:space="preserve">Broadcom </t>
        </r>
        <r>
          <rPr>
            <sz val="10"/>
            <rFont val="DejaVu Sans"/>
            <family val="2"/>
          </rPr>
          <t xml:space="preserve">市值。來源：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B25" authorId="0">
      <text>
        <r>
          <rPr>
            <sz val="10"/>
            <rFont val="Arial"/>
            <family val="2"/>
          </rPr>
          <t xml:space="preserve">ARM </t>
        </r>
        <r>
          <rPr>
            <sz val="10"/>
            <rFont val="DejaVu Sans"/>
            <family val="2"/>
          </rPr>
          <t xml:space="preserve">市值。來源：市場資料，</t>
        </r>
        <r>
          <rPr>
            <sz val="10"/>
            <rFont val="Arial"/>
            <family val="2"/>
          </rPr>
          <t xml:space="preserve">2026-05-19</t>
        </r>
        <r>
          <rPr>
            <sz val="10"/>
            <rFont val="DejaVu Sans"/>
            <family val="2"/>
          </rPr>
          <t xml:space="preserve">。</t>
        </r>
      </text>
    </comment>
    <comment ref="C7" authorId="0">
      <text>
        <r>
          <rPr>
            <sz val="10"/>
            <rFont val="Arial"/>
            <family val="2"/>
          </rPr>
          <t xml:space="preserve">TSMC 2026 Q1 </t>
        </r>
        <r>
          <rPr>
            <sz val="10"/>
            <rFont val="DejaVu Sans"/>
            <family val="2"/>
          </rPr>
          <t xml:space="preserve">營收年增率。來源：</t>
        </r>
        <r>
          <rPr>
            <sz val="10"/>
            <rFont val="Arial"/>
            <family val="2"/>
          </rPr>
          <t xml:space="preserve">TSMC </t>
        </r>
        <r>
          <rPr>
            <sz val="10"/>
            <rFont val="DejaVu Sans"/>
            <family val="2"/>
          </rPr>
          <t xml:space="preserve">官方財報新聞稿，</t>
        </r>
        <r>
          <rPr>
            <sz val="10"/>
            <rFont val="Arial"/>
            <family val="2"/>
          </rPr>
          <t xml:space="preserve">2026-04</t>
        </r>
        <r>
          <rPr>
            <sz val="10"/>
            <rFont val="DejaVu Sans"/>
            <family val="2"/>
          </rPr>
          <t xml:space="preserve">。</t>
        </r>
      </text>
    </comment>
    <comment ref="C8" authorId="0">
      <text>
        <r>
          <rPr>
            <sz val="10"/>
            <rFont val="Arial"/>
            <family val="2"/>
          </rPr>
          <t xml:space="preserve">NVIDIA FY2027 Q1 </t>
        </r>
        <r>
          <rPr>
            <sz val="10"/>
            <rFont val="DejaVu Sans"/>
            <family val="2"/>
          </rPr>
          <t xml:space="preserve">營收年增率。來源：</t>
        </r>
        <r>
          <rPr>
            <sz val="10"/>
            <rFont val="Arial"/>
            <family val="2"/>
          </rPr>
          <t xml:space="preserve">NVIDIA </t>
        </r>
        <r>
          <rPr>
            <sz val="10"/>
            <rFont val="DejaVu Sans"/>
            <family val="2"/>
          </rPr>
          <t xml:space="preserve">官方財報新聞稿，</t>
        </r>
        <r>
          <rPr>
            <sz val="10"/>
            <rFont val="Arial"/>
            <family val="2"/>
          </rPr>
          <t xml:space="preserve">2026-05-20</t>
        </r>
        <r>
          <rPr>
            <sz val="10"/>
            <rFont val="DejaVu Sans"/>
            <family val="2"/>
          </rPr>
          <t xml:space="preserve">。</t>
        </r>
      </text>
    </comment>
    <comment ref="C9" authorId="0">
      <text>
        <r>
          <rPr>
            <sz val="10"/>
            <rFont val="Arial"/>
            <family val="2"/>
          </rPr>
          <t xml:space="preserve">AMD 2026 Q1 </t>
        </r>
        <r>
          <rPr>
            <sz val="10"/>
            <rFont val="DejaVu Sans"/>
            <family val="2"/>
          </rPr>
          <t xml:space="preserve">營收年增率。來源：</t>
        </r>
        <r>
          <rPr>
            <sz val="10"/>
            <rFont val="Arial"/>
            <family val="2"/>
          </rPr>
          <t xml:space="preserve">AMD </t>
        </r>
        <r>
          <rPr>
            <sz val="10"/>
            <rFont val="DejaVu Sans"/>
            <family val="2"/>
          </rPr>
          <t xml:space="preserve">官方財報新聞稿，</t>
        </r>
        <r>
          <rPr>
            <sz val="10"/>
            <rFont val="Arial"/>
            <family val="2"/>
          </rPr>
          <t xml:space="preserve">2026-05-05</t>
        </r>
        <r>
          <rPr>
            <sz val="10"/>
            <rFont val="DejaVu Sans"/>
            <family val="2"/>
          </rPr>
          <t xml:space="preserve">。</t>
        </r>
      </text>
    </comment>
    <comment ref="C10" authorId="0">
      <text>
        <r>
          <rPr>
            <sz val="10"/>
            <rFont val="Arial"/>
            <family val="2"/>
          </rPr>
          <t xml:space="preserve">Broadcom FY2026 Q1 </t>
        </r>
        <r>
          <rPr>
            <sz val="10"/>
            <rFont val="DejaVu Sans"/>
            <family val="2"/>
          </rPr>
          <t xml:space="preserve">營收年增率。來源：</t>
        </r>
        <r>
          <rPr>
            <sz val="10"/>
            <rFont val="Arial"/>
            <family val="2"/>
          </rPr>
          <t xml:space="preserve">Broadcom 8-K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DejaVu Sans"/>
            <family val="2"/>
          </rPr>
          <t xml:space="preserve">。</t>
        </r>
      </text>
    </comment>
    <comment ref="C11" authorId="0">
      <text>
        <r>
          <rPr>
            <sz val="10"/>
            <rFont val="Arial"/>
            <family val="2"/>
          </rPr>
          <t xml:space="preserve">ARM FY2026 Q4 </t>
        </r>
        <r>
          <rPr>
            <sz val="10"/>
            <rFont val="DejaVu Sans"/>
            <family val="2"/>
          </rPr>
          <t xml:space="preserve">營收年增率。來源：</t>
        </r>
        <r>
          <rPr>
            <sz val="10"/>
            <rFont val="Arial"/>
            <family val="2"/>
          </rPr>
          <t xml:space="preserve">ARM </t>
        </r>
        <r>
          <rPr>
            <sz val="10"/>
            <rFont val="DejaVu Sans"/>
            <family val="2"/>
          </rPr>
          <t xml:space="preserve">官方財報，</t>
        </r>
        <r>
          <rPr>
            <sz val="10"/>
            <rFont val="Arial"/>
            <family val="2"/>
          </rPr>
          <t xml:space="preserve">2026-05-06</t>
        </r>
        <r>
          <rPr>
            <sz val="10"/>
            <rFont val="DejaVu Sans"/>
            <family val="2"/>
          </rPr>
          <t xml:space="preserve">。</t>
        </r>
      </text>
    </comment>
    <comment ref="C21" authorId="0">
      <text>
        <r>
          <rPr>
            <sz val="10"/>
            <rFont val="Arial"/>
            <family val="2"/>
          </rPr>
          <t xml:space="preserve">TSMC </t>
        </r>
        <r>
          <rPr>
            <sz val="10"/>
            <rFont val="DejaVu Sans"/>
            <family val="2"/>
          </rPr>
          <t xml:space="preserve">企業價值（淨現金部位使 </t>
        </r>
        <r>
          <rPr>
            <sz val="10"/>
            <rFont val="Arial"/>
            <family val="2"/>
          </rPr>
          <t xml:space="preserve">EV </t>
        </r>
        <r>
          <rPr>
            <sz val="10"/>
            <rFont val="DejaVu Sans"/>
            <family val="2"/>
          </rPr>
          <t xml:space="preserve">低於市值）。來源：</t>
        </r>
        <r>
          <rPr>
            <sz val="10"/>
            <rFont val="Arial"/>
            <family val="2"/>
          </rPr>
          <t xml:space="preserve">companiesmarketcap.com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2026-04</t>
        </r>
        <r>
          <rPr>
            <sz val="10"/>
            <rFont val="DejaVu Sans"/>
            <family val="2"/>
          </rPr>
          <t xml:space="preserve">。</t>
        </r>
      </text>
    </comment>
    <comment ref="C22" authorId="0">
      <text>
        <r>
          <rPr>
            <sz val="10"/>
            <rFont val="Arial"/>
            <family val="2"/>
          </rPr>
          <t xml:space="preserve">NVIDIA </t>
        </r>
        <r>
          <rPr>
            <sz val="10"/>
            <rFont val="DejaVu Sans"/>
            <family val="2"/>
          </rPr>
          <t xml:space="preserve">企業價值。來源：</t>
        </r>
        <r>
          <rPr>
            <sz val="10"/>
            <rFont val="Arial"/>
            <family val="2"/>
          </rPr>
          <t xml:space="preserve">gurufocus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2026-05-14</t>
        </r>
        <r>
          <rPr>
            <sz val="10"/>
            <rFont val="DejaVu Sans"/>
            <family val="2"/>
          </rPr>
          <t xml:space="preserve">。</t>
        </r>
      </text>
    </comment>
    <comment ref="C23" authorId="0">
      <text>
        <r>
          <rPr>
            <sz val="10"/>
            <rFont val="Arial"/>
            <family val="2"/>
          </rPr>
          <t xml:space="preserve">AMD </t>
        </r>
        <r>
          <rPr>
            <sz val="10"/>
            <rFont val="DejaVu Sans"/>
            <family val="2"/>
          </rPr>
          <t xml:space="preserve">企業價值。來源：</t>
        </r>
        <r>
          <rPr>
            <sz val="10"/>
            <rFont val="Arial"/>
            <family val="2"/>
          </rPr>
          <t xml:space="preserve">gurufocus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2026-05-14</t>
        </r>
        <r>
          <rPr>
            <sz val="10"/>
            <rFont val="DejaVu Sans"/>
            <family val="2"/>
          </rPr>
          <t xml:space="preserve">。</t>
        </r>
      </text>
    </comment>
    <comment ref="C24" authorId="0">
      <text>
        <r>
          <rPr>
            <sz val="10"/>
            <rFont val="Arial"/>
            <family val="2"/>
          </rPr>
          <t xml:space="preserve">Broadcom </t>
        </r>
        <r>
          <rPr>
            <sz val="10"/>
            <rFont val="DejaVu Sans"/>
            <family val="2"/>
          </rPr>
          <t xml:space="preserve">企業價值。來源：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C25" authorId="0">
      <text>
        <r>
          <rPr>
            <sz val="10"/>
            <rFont val="Arial"/>
            <family val="2"/>
          </rPr>
          <t xml:space="preserve">ARM </t>
        </r>
        <r>
          <rPr>
            <sz val="10"/>
            <rFont val="DejaVu Sans"/>
            <family val="2"/>
          </rPr>
          <t xml:space="preserve">企業價值。來源：</t>
        </r>
        <r>
          <rPr>
            <sz val="10"/>
            <rFont val="Arial"/>
            <family val="2"/>
          </rPr>
          <t xml:space="preserve">stockanalysis.com / Yahoo Finance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2026-05-19</t>
        </r>
        <r>
          <rPr>
            <sz val="10"/>
            <rFont val="DejaVu Sans"/>
            <family val="2"/>
          </rPr>
          <t xml:space="preserve">。</t>
        </r>
      </text>
    </comment>
    <comment ref="D7" authorId="0">
      <text>
        <r>
          <rPr>
            <sz val="10"/>
            <rFont val="Arial"/>
            <family val="2"/>
          </rPr>
          <t xml:space="preserve">TSMC TTM </t>
        </r>
        <r>
          <rPr>
            <sz val="10"/>
            <rFont val="DejaVu Sans"/>
            <family val="2"/>
          </rPr>
          <t xml:space="preserve">毛利率（近一季已回升至約 </t>
        </r>
        <r>
          <rPr>
            <sz val="10"/>
            <rFont val="Arial"/>
            <family val="2"/>
          </rPr>
          <t xml:space="preserve">66%</t>
        </r>
        <r>
          <rPr>
            <sz val="10"/>
            <rFont val="DejaVu Sans"/>
            <family val="2"/>
          </rPr>
          <t xml:space="preserve">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D8" authorId="0">
      <text>
        <r>
          <rPr>
            <sz val="10"/>
            <rFont val="Arial"/>
            <family val="2"/>
          </rPr>
          <t xml:space="preserve">NVIDIA TTM </t>
        </r>
        <r>
          <rPr>
            <sz val="10"/>
            <rFont val="DejaVu Sans"/>
            <family val="2"/>
          </rPr>
          <t xml:space="preserve">毛利率。來源：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D9" authorId="0">
      <text>
        <r>
          <rPr>
            <sz val="10"/>
            <rFont val="Arial"/>
            <family val="2"/>
          </rPr>
          <t xml:space="preserve">AMD TTM </t>
        </r>
        <r>
          <rPr>
            <sz val="10"/>
            <rFont val="DejaVu Sans"/>
            <family val="2"/>
          </rPr>
          <t xml:space="preserve">毛利率。來源：</t>
        </r>
        <r>
          <rPr>
            <sz val="10"/>
            <rFont val="Arial"/>
            <family val="2"/>
          </rPr>
          <t xml:space="preserve">macrotrends / zacks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D10" authorId="0">
      <text>
        <r>
          <rPr>
            <sz val="10"/>
            <rFont val="Arial"/>
            <family val="2"/>
          </rPr>
          <t xml:space="preserve">Broadcom </t>
        </r>
        <r>
          <rPr>
            <sz val="10"/>
            <rFont val="DejaVu Sans"/>
            <family val="2"/>
          </rPr>
          <t xml:space="preserve">毛利率（約值）。來源：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D11" authorId="0">
      <text>
        <r>
          <rPr>
            <sz val="10"/>
            <rFont val="Arial"/>
            <family val="2"/>
          </rPr>
          <t xml:space="preserve">ARM </t>
        </r>
        <r>
          <rPr>
            <sz val="10"/>
            <rFont val="DejaVu Sans"/>
            <family val="2"/>
          </rPr>
          <t xml:space="preserve">毛利率（</t>
        </r>
        <r>
          <rPr>
            <sz val="10"/>
            <rFont val="Arial"/>
            <family val="2"/>
          </rPr>
          <t xml:space="preserve">IP </t>
        </r>
        <r>
          <rPr>
            <sz val="10"/>
            <rFont val="DejaVu Sans"/>
            <family val="2"/>
          </rPr>
          <t xml:space="preserve">授權商，</t>
        </r>
        <r>
          <rPr>
            <sz val="10"/>
            <rFont val="Arial"/>
            <family val="2"/>
          </rPr>
          <t xml:space="preserve">COGS </t>
        </r>
        <r>
          <rPr>
            <sz val="10"/>
            <rFont val="DejaVu Sans"/>
            <family val="2"/>
          </rPr>
          <t xml:space="preserve">極低）；約值，依歷史財報估計。</t>
        </r>
      </text>
    </comment>
    <comment ref="E7" authorId="0">
      <text>
        <r>
          <rPr>
            <sz val="10"/>
            <rFont val="DejaVu Sans"/>
            <family val="2"/>
          </rPr>
          <t xml:space="preserve">推算值：</t>
        </r>
        <r>
          <rPr>
            <sz val="10"/>
            <rFont val="Arial"/>
            <family val="2"/>
          </rPr>
          <t xml:space="preserve">EV $1.70</t>
        </r>
        <r>
          <rPr>
            <sz val="10"/>
            <rFont val="DejaVu Sans"/>
            <family val="2"/>
          </rPr>
          <t xml:space="preserve">兆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報導之 </t>
        </r>
        <r>
          <rPr>
            <sz val="10"/>
            <rFont val="Arial"/>
            <family val="2"/>
          </rPr>
          <t xml:space="preserve">EV/EBITDA 18.1x</t>
        </r>
        <r>
          <rPr>
            <sz val="10"/>
            <rFont val="DejaVu Sans"/>
            <family val="2"/>
          </rPr>
          <t xml:space="preserve">。來源：</t>
        </r>
        <r>
          <rPr>
            <sz val="10"/>
            <rFont val="Arial"/>
            <family val="2"/>
          </rPr>
          <t xml:space="preserve">stockanalysis.com / multiples.vc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E8" authorId="0">
      <text>
        <r>
          <rPr>
            <sz val="10"/>
            <rFont val="Arial"/>
            <family val="2"/>
          </rPr>
          <t xml:space="preserve">NVIDIA TTM EBITDA</t>
        </r>
        <r>
          <rPr>
            <sz val="10"/>
            <rFont val="DejaVu Sans"/>
            <family val="2"/>
          </rPr>
          <t xml:space="preserve">（截至 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gurufocus / 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E9" authorId="0">
      <text>
        <r>
          <rPr>
            <sz val="10"/>
            <rFont val="Arial"/>
            <family val="2"/>
          </rPr>
          <t xml:space="preserve">AMD TTM EBITDA</t>
        </r>
        <r>
          <rPr>
            <sz val="10"/>
            <rFont val="DejaVu Sans"/>
            <family val="2"/>
          </rPr>
          <t xml:space="preserve">（截至 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年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DejaVu Sans"/>
            <family val="2"/>
          </rPr>
          <t xml:space="preserve">月）。來源：</t>
        </r>
        <r>
          <rPr>
            <sz val="10"/>
            <rFont val="Arial"/>
            <family val="2"/>
          </rPr>
          <t xml:space="preserve">gurufocus / 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E10" authorId="0">
      <text>
        <r>
          <rPr>
            <sz val="10"/>
            <rFont val="DejaVu Sans"/>
            <family val="2"/>
          </rPr>
          <t xml:space="preserve">推算值：</t>
        </r>
        <r>
          <rPr>
            <sz val="10"/>
            <rFont val="Arial"/>
            <family val="2"/>
          </rPr>
          <t xml:space="preserve">EV $2.08</t>
        </r>
        <r>
          <rPr>
            <sz val="10"/>
            <rFont val="DejaVu Sans"/>
            <family val="2"/>
          </rPr>
          <t xml:space="preserve">兆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報導之 </t>
        </r>
        <r>
          <rPr>
            <sz val="10"/>
            <rFont val="Arial"/>
            <family val="2"/>
          </rPr>
          <t xml:space="preserve">EV/EBITDA 55.9x</t>
        </r>
        <r>
          <rPr>
            <sz val="10"/>
            <rFont val="DejaVu Sans"/>
            <family val="2"/>
          </rPr>
          <t xml:space="preserve">（</t>
        </r>
        <r>
          <rPr>
            <sz val="10"/>
            <rFont val="Arial"/>
            <family val="2"/>
          </rPr>
          <t xml:space="preserve">GAAP </t>
        </r>
        <r>
          <rPr>
            <sz val="10"/>
            <rFont val="DejaVu Sans"/>
            <family val="2"/>
          </rPr>
          <t xml:space="preserve">基礎；公司另報導較高之 </t>
        </r>
        <r>
          <rPr>
            <sz val="10"/>
            <rFont val="Arial"/>
            <family val="2"/>
          </rPr>
          <t xml:space="preserve">adjusted EBITDA</t>
        </r>
        <r>
          <rPr>
            <sz val="10"/>
            <rFont val="DejaVu Sans"/>
            <family val="2"/>
          </rPr>
          <t xml:space="preserve">）。來源：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E11" authorId="0">
      <text>
        <r>
          <rPr>
            <sz val="10"/>
            <rFont val="Arial"/>
            <family val="2"/>
          </rPr>
          <t xml:space="preserve">ARM TTM EBITDA</t>
        </r>
        <r>
          <rPr>
            <sz val="10"/>
            <rFont val="DejaVu Sans"/>
            <family val="2"/>
          </rPr>
          <t xml:space="preserve">。來源：</t>
        </r>
        <r>
          <rPr>
            <sz val="10"/>
            <rFont val="Arial"/>
            <family val="2"/>
          </rPr>
          <t xml:space="preserve">stockanalysis.com / valueinvesting.io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F21" authorId="0">
      <text>
        <r>
          <rPr>
            <sz val="10"/>
            <rFont val="Arial"/>
            <family val="2"/>
          </rPr>
          <t xml:space="preserve">TSMC trailing </t>
        </r>
        <r>
          <rPr>
            <sz val="10"/>
            <rFont val="DejaVu Sans"/>
            <family val="2"/>
          </rPr>
          <t xml:space="preserve">本益比。來源：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F22" authorId="0">
      <text>
        <r>
          <rPr>
            <sz val="10"/>
            <rFont val="Arial"/>
            <family val="2"/>
          </rPr>
          <t xml:space="preserve">NVIDIA trailing </t>
        </r>
        <r>
          <rPr>
            <sz val="10"/>
            <rFont val="DejaVu Sans"/>
            <family val="2"/>
          </rPr>
          <t xml:space="preserve">本益比。來源：市場資料，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F23" authorId="0">
      <text>
        <r>
          <rPr>
            <sz val="10"/>
            <rFont val="Arial"/>
            <family val="2"/>
          </rPr>
          <t xml:space="preserve">AMD trailing </t>
        </r>
        <r>
          <rPr>
            <sz val="10"/>
            <rFont val="DejaVu Sans"/>
            <family val="2"/>
          </rPr>
          <t xml:space="preserve">本益比。來源：市場資料，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F24" authorId="0">
      <text>
        <r>
          <rPr>
            <sz val="10"/>
            <rFont val="Arial"/>
            <family val="2"/>
          </rPr>
          <t xml:space="preserve">Broadcom trailing </t>
        </r>
        <r>
          <rPr>
            <sz val="10"/>
            <rFont val="DejaVu Sans"/>
            <family val="2"/>
          </rPr>
          <t xml:space="preserve">本益比。來源：</t>
        </r>
        <r>
          <rPr>
            <sz val="10"/>
            <rFont val="Arial"/>
            <family val="2"/>
          </rPr>
          <t xml:space="preserve">stockanalysis.com</t>
        </r>
        <r>
          <rPr>
            <sz val="10"/>
            <rFont val="DejaVu Sans"/>
            <family val="2"/>
          </rPr>
          <t xml:space="preserve">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  <comment ref="F25" authorId="0">
      <text>
        <r>
          <rPr>
            <sz val="10"/>
            <rFont val="Arial"/>
            <family val="2"/>
          </rPr>
          <t xml:space="preserve">ARM trailing </t>
        </r>
        <r>
          <rPr>
            <sz val="10"/>
            <rFont val="DejaVu Sans"/>
            <family val="2"/>
          </rPr>
          <t xml:space="preserve">本益比。來源：市場資料，</t>
        </r>
        <r>
          <rPr>
            <sz val="10"/>
            <rFont val="Arial"/>
            <family val="2"/>
          </rPr>
          <t xml:space="preserve">2026-05</t>
        </r>
        <r>
          <rPr>
            <sz val="10"/>
            <rFont val="DejaVu Sans"/>
            <family val="2"/>
          </rPr>
          <t xml:space="preserve">。</t>
        </r>
      </text>
    </comment>
  </commentList>
</comments>
</file>

<file path=xl/sharedStrings.xml><?xml version="1.0" encoding="utf-8"?>
<sst xmlns="http://schemas.openxmlformats.org/spreadsheetml/2006/main" count="45" uniqueCount="34">
  <si>
    <r>
      <rPr>
        <b val="true"/>
        <sz val="14"/>
        <color rgb="FFFFFFFF"/>
        <rFont val="DejaVu Sans"/>
        <family val="2"/>
      </rPr>
      <t xml:space="preserve">半導體 </t>
    </r>
    <r>
      <rPr>
        <b val="true"/>
        <sz val="14"/>
        <color rgb="FFFFFFFF"/>
        <rFont val="Times New Roman"/>
        <family val="0"/>
        <charset val="1"/>
      </rPr>
      <t xml:space="preserve">AI </t>
    </r>
    <r>
      <rPr>
        <b val="true"/>
        <sz val="14"/>
        <color rgb="FFFFFFFF"/>
        <rFont val="DejaVu Sans"/>
        <family val="2"/>
      </rPr>
      <t xml:space="preserve">生態系 — 可比公司分析 </t>
    </r>
    <r>
      <rPr>
        <b val="true"/>
        <sz val="14"/>
        <color rgb="FFFFFFFF"/>
        <rFont val="Times New Roman"/>
        <family val="0"/>
        <charset val="1"/>
      </rPr>
      <t xml:space="preserve">(Comparable Company Analysis)</t>
    </r>
  </si>
  <si>
    <r>
      <rPr>
        <b val="true"/>
        <sz val="11"/>
        <color rgb="FF000000"/>
        <rFont val="DejaVu Sans"/>
        <family val="2"/>
      </rPr>
      <t xml:space="preserve">台積電 </t>
    </r>
    <r>
      <rPr>
        <b val="true"/>
        <sz val="11"/>
        <color rgb="FF000000"/>
        <rFont val="Times New Roman"/>
        <family val="0"/>
        <charset val="1"/>
      </rPr>
      <t xml:space="preserve">TSMC (TSM) • NVIDIA (NVDA) • AMD (AMD) • Broadcom (AVGO) • ARM Holdings (ARM)</t>
    </r>
  </si>
  <si>
    <r>
      <rPr>
        <sz val="10"/>
        <color rgb="FF595959"/>
        <rFont val="DejaVu Sans"/>
        <family val="2"/>
      </rPr>
      <t xml:space="preserve">資料截至 </t>
    </r>
    <r>
      <rPr>
        <sz val="10"/>
        <color rgb="FF595959"/>
        <rFont val="Times New Roman"/>
        <family val="0"/>
        <charset val="1"/>
      </rPr>
      <t xml:space="preserve">2026 </t>
    </r>
    <r>
      <rPr>
        <sz val="10"/>
        <color rgb="FF595959"/>
        <rFont val="DejaVu Sans"/>
        <family val="2"/>
      </rPr>
      <t xml:space="preserve">年 </t>
    </r>
    <r>
      <rPr>
        <sz val="10"/>
        <color rgb="FF595959"/>
        <rFont val="Times New Roman"/>
        <family val="0"/>
        <charset val="1"/>
      </rPr>
      <t xml:space="preserve">5 </t>
    </r>
    <r>
      <rPr>
        <sz val="10"/>
        <color rgb="FF595959"/>
        <rFont val="DejaVu Sans"/>
        <family val="2"/>
      </rPr>
      <t xml:space="preserve">月  </t>
    </r>
    <r>
      <rPr>
        <sz val="10"/>
        <color rgb="FF595959"/>
        <rFont val="Times New Roman"/>
        <family val="0"/>
        <charset val="1"/>
      </rPr>
      <t xml:space="preserve">|  </t>
    </r>
    <r>
      <rPr>
        <sz val="10"/>
        <color rgb="FF595959"/>
        <rFont val="DejaVu Sans"/>
        <family val="2"/>
      </rPr>
      <t xml:space="preserve">金額單位：百萬美元 </t>
    </r>
    <r>
      <rPr>
        <sz val="10"/>
        <color rgb="FF595959"/>
        <rFont val="Times New Roman"/>
        <family val="0"/>
        <charset val="1"/>
      </rPr>
      <t xml:space="preserve">(US$mm)</t>
    </r>
    <r>
      <rPr>
        <sz val="10"/>
        <color rgb="FF595959"/>
        <rFont val="DejaVu Sans"/>
        <family val="2"/>
      </rPr>
      <t xml:space="preserve">，比率與倍數除外  </t>
    </r>
    <r>
      <rPr>
        <sz val="10"/>
        <color rgb="FF595959"/>
        <rFont val="Times New Roman"/>
        <family val="0"/>
        <charset val="1"/>
      </rPr>
      <t xml:space="preserve">|  </t>
    </r>
    <r>
      <rPr>
        <sz val="10"/>
        <color rgb="FF595959"/>
        <rFont val="DejaVu Sans"/>
        <family val="2"/>
      </rPr>
      <t xml:space="preserve">藍字＝輸入值，黑字＝公式</t>
    </r>
  </si>
  <si>
    <r>
      <rPr>
        <b val="true"/>
        <sz val="12"/>
        <color rgb="FFFFFFFF"/>
        <rFont val="DejaVu Sans"/>
        <family val="2"/>
      </rPr>
      <t xml:space="preserve">營運與財務指標   </t>
    </r>
    <r>
      <rPr>
        <b val="true"/>
        <sz val="12"/>
        <color rgb="FFFFFFFF"/>
        <rFont val="Times New Roman"/>
        <family val="0"/>
        <charset val="1"/>
      </rPr>
      <t xml:space="preserve">OPERATING STATISTICS &amp; FINANCIAL METRICS</t>
    </r>
  </si>
  <si>
    <r>
      <rPr>
        <b val="true"/>
        <sz val="11"/>
        <color rgb="FF000000"/>
        <rFont val="DejaVu Sans"/>
        <family val="2"/>
      </rPr>
      <t xml:space="preserve">公司 </t>
    </r>
    <r>
      <rPr>
        <b val="true"/>
        <sz val="11"/>
        <color rgb="FF000000"/>
        <rFont val="Times New Roman"/>
        <family val="0"/>
        <charset val="1"/>
      </rPr>
      <t xml:space="preserve">Company</t>
    </r>
  </si>
  <si>
    <r>
      <rPr>
        <b val="true"/>
        <sz val="11"/>
        <color rgb="FF000000"/>
        <rFont val="DejaVu Sans"/>
        <family val="2"/>
      </rPr>
      <t xml:space="preserve">營收 </t>
    </r>
    <r>
      <rPr>
        <b val="true"/>
        <sz val="11"/>
        <color rgb="FF000000"/>
        <rFont val="Times New Roman"/>
        <family val="0"/>
        <charset val="1"/>
      </rPr>
      <t xml:space="preserve">TTM ($mm)</t>
    </r>
  </si>
  <si>
    <r>
      <rPr>
        <b val="true"/>
        <sz val="11"/>
        <color rgb="FF000000"/>
        <rFont val="DejaVu Sans"/>
        <family val="2"/>
      </rPr>
      <t xml:space="preserve">營收成長 </t>
    </r>
    <r>
      <rPr>
        <b val="true"/>
        <sz val="11"/>
        <color rgb="FF000000"/>
        <rFont val="Times New Roman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最近季 </t>
    </r>
    <r>
      <rPr>
        <b val="true"/>
        <sz val="11"/>
        <color rgb="FF000000"/>
        <rFont val="Times New Roman"/>
        <family val="0"/>
        <charset val="1"/>
      </rPr>
      <t xml:space="preserve">YoY)</t>
    </r>
  </si>
  <si>
    <r>
      <rPr>
        <b val="true"/>
        <sz val="11"/>
        <color rgb="FF000000"/>
        <rFont val="DejaVu Sans"/>
        <family val="2"/>
      </rPr>
      <t xml:space="preserve">毛利率 </t>
    </r>
    <r>
      <rPr>
        <b val="true"/>
        <sz val="11"/>
        <color rgb="FF000000"/>
        <rFont val="Times New Roman"/>
        <family val="0"/>
        <charset val="1"/>
      </rPr>
      <t xml:space="preserve">TTM</t>
    </r>
  </si>
  <si>
    <t xml:space="preserve">EBITDA TTM ($mm)</t>
  </si>
  <si>
    <r>
      <rPr>
        <b val="true"/>
        <sz val="11"/>
        <color rgb="FF000000"/>
        <rFont val="Times New Roman"/>
        <family val="0"/>
        <charset val="1"/>
      </rPr>
      <t xml:space="preserve">EBITDA </t>
    </r>
    <r>
      <rPr>
        <b val="true"/>
        <sz val="11"/>
        <color rgb="FF000000"/>
        <rFont val="DejaVu Sans"/>
        <family val="2"/>
      </rPr>
      <t xml:space="preserve">利潤率</t>
    </r>
  </si>
  <si>
    <r>
      <rPr>
        <b val="true"/>
        <sz val="11"/>
        <color rgb="FF000000"/>
        <rFont val="DejaVu Sans"/>
        <family val="2"/>
      </rPr>
      <t xml:space="preserve">台積電 </t>
    </r>
    <r>
      <rPr>
        <b val="true"/>
        <sz val="11"/>
        <color rgb="FF000000"/>
        <rFont val="Times New Roman"/>
        <family val="0"/>
        <charset val="1"/>
      </rPr>
      <t xml:space="preserve">TSMC</t>
    </r>
  </si>
  <si>
    <t xml:space="preserve">NVIDIA</t>
  </si>
  <si>
    <t xml:space="preserve">AMD</t>
  </si>
  <si>
    <t xml:space="preserve">Broadcom</t>
  </si>
  <si>
    <t xml:space="preserve">ARM Holdings</t>
  </si>
  <si>
    <r>
      <rPr>
        <b val="true"/>
        <sz val="11"/>
        <color rgb="FF000000"/>
        <rFont val="DejaVu Sans"/>
        <family val="2"/>
      </rPr>
      <t xml:space="preserve">最大值 </t>
    </r>
    <r>
      <rPr>
        <b val="true"/>
        <sz val="11"/>
        <color rgb="FF000000"/>
        <rFont val="Times New Roman"/>
        <family val="0"/>
        <charset val="1"/>
      </rPr>
      <t xml:space="preserve">Maximum</t>
    </r>
  </si>
  <si>
    <r>
      <rPr>
        <b val="true"/>
        <sz val="11"/>
        <color rgb="FF000000"/>
        <rFont val="Times New Roman"/>
        <family val="0"/>
        <charset val="1"/>
      </rPr>
      <t xml:space="preserve">75 </t>
    </r>
    <r>
      <rPr>
        <b val="true"/>
        <sz val="11"/>
        <color rgb="FF000000"/>
        <rFont val="DejaVu Sans"/>
        <family val="2"/>
      </rPr>
      <t xml:space="preserve">百分位 </t>
    </r>
    <r>
      <rPr>
        <b val="true"/>
        <sz val="11"/>
        <color rgb="FF000000"/>
        <rFont val="Times New Roman"/>
        <family val="0"/>
        <charset val="1"/>
      </rPr>
      <t xml:space="preserve">75th Pct</t>
    </r>
  </si>
  <si>
    <r>
      <rPr>
        <b val="true"/>
        <sz val="11"/>
        <color rgb="FF000000"/>
        <rFont val="DejaVu Sans"/>
        <family val="2"/>
      </rPr>
      <t xml:space="preserve">中位數 </t>
    </r>
    <r>
      <rPr>
        <b val="true"/>
        <sz val="11"/>
        <color rgb="FF000000"/>
        <rFont val="Times New Roman"/>
        <family val="0"/>
        <charset val="1"/>
      </rPr>
      <t xml:space="preserve">Median</t>
    </r>
  </si>
  <si>
    <r>
      <rPr>
        <b val="true"/>
        <sz val="11"/>
        <color rgb="FF000000"/>
        <rFont val="Times New Roman"/>
        <family val="0"/>
        <charset val="1"/>
      </rPr>
      <t xml:space="preserve">25 </t>
    </r>
    <r>
      <rPr>
        <b val="true"/>
        <sz val="11"/>
        <color rgb="FF000000"/>
        <rFont val="DejaVu Sans"/>
        <family val="2"/>
      </rPr>
      <t xml:space="preserve">百分位 </t>
    </r>
    <r>
      <rPr>
        <b val="true"/>
        <sz val="11"/>
        <color rgb="FF000000"/>
        <rFont val="Times New Roman"/>
        <family val="0"/>
        <charset val="1"/>
      </rPr>
      <t xml:space="preserve">25th Pct</t>
    </r>
  </si>
  <si>
    <r>
      <rPr>
        <b val="true"/>
        <sz val="11"/>
        <color rgb="FF000000"/>
        <rFont val="DejaVu Sans"/>
        <family val="2"/>
      </rPr>
      <t xml:space="preserve">最小值 </t>
    </r>
    <r>
      <rPr>
        <b val="true"/>
        <sz val="11"/>
        <color rgb="FF000000"/>
        <rFont val="Times New Roman"/>
        <family val="0"/>
        <charset val="1"/>
      </rPr>
      <t xml:space="preserve">Minimum</t>
    </r>
  </si>
  <si>
    <r>
      <rPr>
        <b val="true"/>
        <sz val="12"/>
        <color rgb="FFFFFFFF"/>
        <rFont val="DejaVu Sans"/>
        <family val="2"/>
      </rPr>
      <t xml:space="preserve">估值倍數   </t>
    </r>
    <r>
      <rPr>
        <b val="true"/>
        <sz val="12"/>
        <color rgb="FFFFFFFF"/>
        <rFont val="Times New Roman"/>
        <family val="0"/>
        <charset val="1"/>
      </rPr>
      <t xml:space="preserve">VALUATION MULTIPLES &amp; INVESTMENT METRICS</t>
    </r>
  </si>
  <si>
    <r>
      <rPr>
        <b val="true"/>
        <sz val="11"/>
        <color rgb="FF000000"/>
        <rFont val="DejaVu Sans"/>
        <family val="2"/>
      </rPr>
      <t xml:space="preserve">市值 </t>
    </r>
    <r>
      <rPr>
        <b val="true"/>
        <sz val="11"/>
        <color rgb="FF000000"/>
        <rFont val="Times New Roman"/>
        <family val="0"/>
        <charset val="1"/>
      </rPr>
      <t xml:space="preserve">($mm)</t>
    </r>
  </si>
  <si>
    <r>
      <rPr>
        <b val="true"/>
        <sz val="11"/>
        <color rgb="FF000000"/>
        <rFont val="DejaVu Sans"/>
        <family val="2"/>
      </rPr>
      <t xml:space="preserve">企業價值 </t>
    </r>
    <r>
      <rPr>
        <b val="true"/>
        <sz val="11"/>
        <color rgb="FF000000"/>
        <rFont val="Times New Roman"/>
        <family val="0"/>
        <charset val="1"/>
      </rPr>
      <t xml:space="preserve">EV ($mm)</t>
    </r>
  </si>
  <si>
    <r>
      <rPr>
        <b val="true"/>
        <sz val="11"/>
        <color rgb="FF000000"/>
        <rFont val="Times New Roman"/>
        <family val="0"/>
        <charset val="1"/>
      </rPr>
      <t xml:space="preserve">EV / </t>
    </r>
    <r>
      <rPr>
        <b val="true"/>
        <sz val="11"/>
        <color rgb="FF000000"/>
        <rFont val="DejaVu Sans"/>
        <family val="2"/>
      </rPr>
      <t xml:space="preserve">營收</t>
    </r>
  </si>
  <si>
    <t xml:space="preserve">EV / EBITDA</t>
  </si>
  <si>
    <r>
      <rPr>
        <b val="true"/>
        <sz val="11"/>
        <color rgb="FF000000"/>
        <rFont val="DejaVu Sans"/>
        <family val="2"/>
      </rPr>
      <t xml:space="preserve">本益比 </t>
    </r>
    <r>
      <rPr>
        <b val="true"/>
        <sz val="11"/>
        <color rgb="FF000000"/>
        <rFont val="Times New Roman"/>
        <family val="0"/>
        <charset val="1"/>
      </rPr>
      <t xml:space="preserve">P/E (trailing)</t>
    </r>
  </si>
  <si>
    <r>
      <rPr>
        <b val="true"/>
        <sz val="12"/>
        <color rgb="FFFFFFFF"/>
        <rFont val="DejaVu Sans"/>
        <family val="2"/>
      </rPr>
      <t xml:space="preserve">註記與方法論   </t>
    </r>
    <r>
      <rPr>
        <b val="true"/>
        <sz val="12"/>
        <color rgb="FFFFFFFF"/>
        <rFont val="Times New Roman"/>
        <family val="0"/>
        <charset val="1"/>
      </rPr>
      <t xml:space="preserve">NOTES &amp; METHODOLOGY</t>
    </r>
  </si>
  <si>
    <r>
      <rPr>
        <sz val="10"/>
        <color rgb="FF404040"/>
        <rFont val="DejaVu Sans"/>
        <family val="2"/>
      </rPr>
      <t xml:space="preserve">• 資料來源：營收、</t>
    </r>
    <r>
      <rPr>
        <sz val="10"/>
        <color rgb="FF404040"/>
        <rFont val="Times New Roman"/>
        <family val="0"/>
        <charset val="1"/>
      </rPr>
      <t xml:space="preserve">EBITDA</t>
    </r>
    <r>
      <rPr>
        <sz val="10"/>
        <color rgb="FF404040"/>
        <rFont val="DejaVu Sans"/>
        <family val="2"/>
      </rPr>
      <t xml:space="preserve">、市值、企業價值、估值倍數取自 </t>
    </r>
    <r>
      <rPr>
        <sz val="10"/>
        <color rgb="FF404040"/>
        <rFont val="Times New Roman"/>
        <family val="0"/>
        <charset val="1"/>
      </rPr>
      <t xml:space="preserve">stockanalysis.com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companiesmarketcap.com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gurufocus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Yahoo Finance </t>
    </r>
    <r>
      <rPr>
        <sz val="10"/>
        <color rgb="FF404040"/>
        <rFont val="DejaVu Sans"/>
        <family val="2"/>
      </rPr>
      <t xml:space="preserve">等公開財經資料（</t>
    </r>
    <r>
      <rPr>
        <sz val="10"/>
        <color rgb="FF404040"/>
        <rFont val="Times New Roman"/>
        <family val="0"/>
        <charset val="1"/>
      </rPr>
      <t xml:space="preserve">2026 </t>
    </r>
    <r>
      <rPr>
        <sz val="10"/>
        <color rgb="FF404040"/>
        <rFont val="DejaVu Sans"/>
        <family val="2"/>
      </rPr>
      <t xml:space="preserve">年 </t>
    </r>
    <r>
      <rPr>
        <sz val="10"/>
        <color rgb="FF404040"/>
        <rFont val="Times New Roman"/>
        <family val="0"/>
        <charset val="1"/>
      </rPr>
      <t xml:space="preserve">5 </t>
    </r>
    <r>
      <rPr>
        <sz val="10"/>
        <color rgb="FF404040"/>
        <rFont val="DejaVu Sans"/>
        <family val="2"/>
      </rPr>
      <t xml:space="preserve">月）；成長率取自各公司官方財報新聞稿。註：機構級分析應優先採用 </t>
    </r>
    <r>
      <rPr>
        <sz val="10"/>
        <color rgb="FF404040"/>
        <rFont val="Times New Roman"/>
        <family val="0"/>
        <charset val="1"/>
      </rPr>
      <t xml:space="preserve">S&amp;P Capital IQ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FactSet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Bloomberg </t>
    </r>
    <r>
      <rPr>
        <sz val="10"/>
        <color rgb="FF404040"/>
        <rFont val="DejaVu Sans"/>
        <family val="2"/>
      </rPr>
      <t xml:space="preserve">等資料源——本表為示範用途，以公開來源彙整。</t>
    </r>
  </si>
  <si>
    <r>
      <rPr>
        <sz val="10"/>
        <color rgb="FF404040"/>
        <rFont val="DejaVu Sans"/>
        <family val="2"/>
      </rPr>
      <t xml:space="preserve">• 期間基礎：營收／</t>
    </r>
    <r>
      <rPr>
        <sz val="10"/>
        <color rgb="FF404040"/>
        <rFont val="Times New Roman"/>
        <family val="0"/>
        <charset val="1"/>
      </rPr>
      <t xml:space="preserve">EBITDA</t>
    </r>
    <r>
      <rPr>
        <sz val="10"/>
        <color rgb="FF404040"/>
        <rFont val="DejaVu Sans"/>
        <family val="2"/>
      </rPr>
      <t xml:space="preserve">／毛利率為 </t>
    </r>
    <r>
      <rPr>
        <sz val="10"/>
        <color rgb="FF404040"/>
        <rFont val="Times New Roman"/>
        <family val="0"/>
        <charset val="1"/>
      </rPr>
      <t xml:space="preserve">TTM</t>
    </r>
    <r>
      <rPr>
        <sz val="10"/>
        <color rgb="FF404040"/>
        <rFont val="DejaVu Sans"/>
        <family val="2"/>
      </rPr>
      <t xml:space="preserve">（最近 </t>
    </r>
    <r>
      <rPr>
        <sz val="10"/>
        <color rgb="FF404040"/>
        <rFont val="Times New Roman"/>
        <family val="0"/>
        <charset val="1"/>
      </rPr>
      <t xml:space="preserve">12 </t>
    </r>
    <r>
      <rPr>
        <sz val="10"/>
        <color rgb="FF404040"/>
        <rFont val="DejaVu Sans"/>
        <family val="2"/>
      </rPr>
      <t xml:space="preserve">個月），各公司 </t>
    </r>
    <r>
      <rPr>
        <sz val="10"/>
        <color rgb="FF404040"/>
        <rFont val="Times New Roman"/>
        <family val="0"/>
        <charset val="1"/>
      </rPr>
      <t xml:space="preserve">TTM </t>
    </r>
    <r>
      <rPr>
        <sz val="10"/>
        <color rgb="FF404040"/>
        <rFont val="DejaVu Sans"/>
        <family val="2"/>
      </rPr>
      <t xml:space="preserve">截止點略有差異（</t>
    </r>
    <r>
      <rPr>
        <sz val="10"/>
        <color rgb="FF404040"/>
        <rFont val="Times New Roman"/>
        <family val="0"/>
        <charset val="1"/>
      </rPr>
      <t xml:space="preserve">TSMC ~2026 Q1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NVIDIA ~2026 </t>
    </r>
    <r>
      <rPr>
        <sz val="10"/>
        <color rgb="FF404040"/>
        <rFont val="DejaVu Sans"/>
        <family val="2"/>
      </rPr>
      <t xml:space="preserve">年 </t>
    </r>
    <r>
      <rPr>
        <sz val="10"/>
        <color rgb="FF404040"/>
        <rFont val="Times New Roman"/>
        <family val="0"/>
        <charset val="1"/>
      </rPr>
      <t xml:space="preserve">1 </t>
    </r>
    <r>
      <rPr>
        <sz val="10"/>
        <color rgb="FF404040"/>
        <rFont val="DejaVu Sans"/>
        <family val="2"/>
      </rPr>
      <t xml:space="preserve">月、</t>
    </r>
    <r>
      <rPr>
        <sz val="10"/>
        <color rgb="FF404040"/>
        <rFont val="Times New Roman"/>
        <family val="0"/>
        <charset val="1"/>
      </rPr>
      <t xml:space="preserve">AMD ~2026 </t>
    </r>
    <r>
      <rPr>
        <sz val="10"/>
        <color rgb="FF404040"/>
        <rFont val="DejaVu Sans"/>
        <family val="2"/>
      </rPr>
      <t xml:space="preserve">年 </t>
    </r>
    <r>
      <rPr>
        <sz val="10"/>
        <color rgb="FF404040"/>
        <rFont val="Times New Roman"/>
        <family val="0"/>
        <charset val="1"/>
      </rPr>
      <t xml:space="preserve">3 </t>
    </r>
    <r>
      <rPr>
        <sz val="10"/>
        <color rgb="FF404040"/>
        <rFont val="DejaVu Sans"/>
        <family val="2"/>
      </rPr>
      <t xml:space="preserve">月、</t>
    </r>
    <r>
      <rPr>
        <sz val="10"/>
        <color rgb="FF404040"/>
        <rFont val="Times New Roman"/>
        <family val="0"/>
        <charset val="1"/>
      </rPr>
      <t xml:space="preserve">Broadcom ~2026 </t>
    </r>
    <r>
      <rPr>
        <sz val="10"/>
        <color rgb="FF404040"/>
        <rFont val="DejaVu Sans"/>
        <family val="2"/>
      </rPr>
      <t xml:space="preserve">年 </t>
    </r>
    <r>
      <rPr>
        <sz val="10"/>
        <color rgb="FF404040"/>
        <rFont val="Times New Roman"/>
        <family val="0"/>
        <charset val="1"/>
      </rPr>
      <t xml:space="preserve">1 </t>
    </r>
    <r>
      <rPr>
        <sz val="10"/>
        <color rgb="FF404040"/>
        <rFont val="DejaVu Sans"/>
        <family val="2"/>
      </rPr>
      <t xml:space="preserve">月、</t>
    </r>
    <r>
      <rPr>
        <sz val="10"/>
        <color rgb="FF404040"/>
        <rFont val="Times New Roman"/>
        <family val="0"/>
        <charset val="1"/>
      </rPr>
      <t xml:space="preserve">ARM </t>
    </r>
    <r>
      <rPr>
        <sz val="10"/>
        <color rgb="FF404040"/>
        <rFont val="DejaVu Sans"/>
        <family val="2"/>
      </rPr>
      <t xml:space="preserve">為 </t>
    </r>
    <r>
      <rPr>
        <sz val="10"/>
        <color rgb="FF404040"/>
        <rFont val="Times New Roman"/>
        <family val="0"/>
        <charset val="1"/>
      </rPr>
      <t xml:space="preserve">FY2026</t>
    </r>
    <r>
      <rPr>
        <sz val="10"/>
        <color rgb="FF404040"/>
        <rFont val="DejaVu Sans"/>
        <family val="2"/>
      </rPr>
      <t xml:space="preserve">）。「營收成長」採各公司最近一季 </t>
    </r>
    <r>
      <rPr>
        <sz val="10"/>
        <color rgb="FF404040"/>
        <rFont val="Times New Roman"/>
        <family val="0"/>
        <charset val="1"/>
      </rPr>
      <t xml:space="preserve">YoY</t>
    </r>
    <r>
      <rPr>
        <sz val="10"/>
        <color rgb="FF404040"/>
        <rFont val="DejaVu Sans"/>
        <family val="2"/>
      </rPr>
      <t xml:space="preserve">。</t>
    </r>
  </si>
  <si>
    <r>
      <rPr>
        <sz val="10"/>
        <color rgb="FF404040"/>
        <rFont val="DejaVu Sans"/>
        <family val="2"/>
      </rPr>
      <t xml:space="preserve">• 可比性說明：</t>
    </r>
    <r>
      <rPr>
        <sz val="10"/>
        <color rgb="FF404040"/>
        <rFont val="Times New Roman"/>
        <family val="0"/>
        <charset val="1"/>
      </rPr>
      <t xml:space="preserve">TSMC </t>
    </r>
    <r>
      <rPr>
        <sz val="10"/>
        <color rgb="FF404040"/>
        <rFont val="DejaVu Sans"/>
        <family val="2"/>
      </rPr>
      <t xml:space="preserve">為晶圓代工，</t>
    </r>
    <r>
      <rPr>
        <sz val="10"/>
        <color rgb="FF404040"/>
        <rFont val="Times New Roman"/>
        <family val="0"/>
        <charset val="1"/>
      </rPr>
      <t xml:space="preserve">NVIDIA</t>
    </r>
    <r>
      <rPr>
        <sz val="10"/>
        <color rgb="FF404040"/>
        <rFont val="DejaVu Sans"/>
        <family val="2"/>
      </rPr>
      <t xml:space="preserve">／</t>
    </r>
    <r>
      <rPr>
        <sz val="10"/>
        <color rgb="FF404040"/>
        <rFont val="Times New Roman"/>
        <family val="0"/>
        <charset val="1"/>
      </rPr>
      <t xml:space="preserve">AMD</t>
    </r>
    <r>
      <rPr>
        <sz val="10"/>
        <color rgb="FF404040"/>
        <rFont val="DejaVu Sans"/>
        <family val="2"/>
      </rPr>
      <t xml:space="preserve">／</t>
    </r>
    <r>
      <rPr>
        <sz val="10"/>
        <color rgb="FF404040"/>
        <rFont val="Times New Roman"/>
        <family val="0"/>
        <charset val="1"/>
      </rPr>
      <t xml:space="preserve">Broadcom </t>
    </r>
    <r>
      <rPr>
        <sz val="10"/>
        <color rgb="FF404040"/>
        <rFont val="DejaVu Sans"/>
        <family val="2"/>
      </rPr>
      <t xml:space="preserve">為無廠 </t>
    </r>
    <r>
      <rPr>
        <sz val="10"/>
        <color rgb="FF404040"/>
        <rFont val="Times New Roman"/>
        <family val="0"/>
        <charset val="1"/>
      </rPr>
      <t xml:space="preserve">IC </t>
    </r>
    <r>
      <rPr>
        <sz val="10"/>
        <color rgb="FF404040"/>
        <rFont val="DejaVu Sans"/>
        <family val="2"/>
      </rPr>
      <t xml:space="preserve">設計，</t>
    </r>
    <r>
      <rPr>
        <sz val="10"/>
        <color rgb="FF404040"/>
        <rFont val="Times New Roman"/>
        <family val="0"/>
        <charset val="1"/>
      </rPr>
      <t xml:space="preserve">ARM </t>
    </r>
    <r>
      <rPr>
        <sz val="10"/>
        <color rgb="FF404040"/>
        <rFont val="DejaVu Sans"/>
        <family val="2"/>
      </rPr>
      <t xml:space="preserve">為 </t>
    </r>
    <r>
      <rPr>
        <sz val="10"/>
        <color rgb="FF404040"/>
        <rFont val="Times New Roman"/>
        <family val="0"/>
        <charset val="1"/>
      </rPr>
      <t xml:space="preserve">IP </t>
    </r>
    <r>
      <rPr>
        <sz val="10"/>
        <color rgb="FF404040"/>
        <rFont val="DejaVu Sans"/>
        <family val="2"/>
      </rPr>
      <t xml:space="preserve">授權——商業模式不同，毛利結構與資本密集度差異大，倍數須謹慎對照。</t>
    </r>
    <r>
      <rPr>
        <sz val="10"/>
        <color rgb="FF404040"/>
        <rFont val="Times New Roman"/>
        <family val="0"/>
        <charset val="1"/>
      </rPr>
      <t xml:space="preserve">AMD </t>
    </r>
    <r>
      <rPr>
        <sz val="10"/>
        <color rgb="FF404040"/>
        <rFont val="DejaVu Sans"/>
        <family val="2"/>
      </rPr>
      <t xml:space="preserve">之 </t>
    </r>
    <r>
      <rPr>
        <sz val="10"/>
        <color rgb="FF404040"/>
        <rFont val="Times New Roman"/>
        <family val="0"/>
        <charset val="1"/>
      </rPr>
      <t xml:space="preserve">EV/EBITDA </t>
    </r>
    <r>
      <rPr>
        <sz val="10"/>
        <color rgb="FF404040"/>
        <rFont val="DejaVu Sans"/>
        <family val="2"/>
      </rPr>
      <t xml:space="preserve">偏高，係因 </t>
    </r>
    <r>
      <rPr>
        <sz val="10"/>
        <color rgb="FF404040"/>
        <rFont val="Times New Roman"/>
        <family val="0"/>
        <charset val="1"/>
      </rPr>
      <t xml:space="preserve">GAAP EBITDA </t>
    </r>
    <r>
      <rPr>
        <sz val="10"/>
        <color rgb="FF404040"/>
        <rFont val="DejaVu Sans"/>
        <family val="2"/>
      </rPr>
      <t xml:space="preserve">受併購無形資產攤銷壓抑。</t>
    </r>
  </si>
  <si>
    <r>
      <rPr>
        <sz val="10"/>
        <color rgb="FF404040"/>
        <rFont val="Times New Roman"/>
        <family val="0"/>
        <charset val="1"/>
      </rPr>
      <t xml:space="preserve">• EBITDA </t>
    </r>
    <r>
      <rPr>
        <sz val="10"/>
        <color rgb="FF404040"/>
        <rFont val="DejaVu Sans"/>
        <family val="2"/>
      </rPr>
      <t xml:space="preserve">定義：</t>
    </r>
    <r>
      <rPr>
        <sz val="10"/>
        <color rgb="FF404040"/>
        <rFont val="Times New Roman"/>
        <family val="0"/>
        <charset val="1"/>
      </rPr>
      <t xml:space="preserve">TSMC </t>
    </r>
    <r>
      <rPr>
        <sz val="10"/>
        <color rgb="FF404040"/>
        <rFont val="DejaVu Sans"/>
        <family val="2"/>
      </rPr>
      <t xml:space="preserve">與 </t>
    </r>
    <r>
      <rPr>
        <sz val="10"/>
        <color rgb="FF404040"/>
        <rFont val="Times New Roman"/>
        <family val="0"/>
        <charset val="1"/>
      </rPr>
      <t xml:space="preserve">Broadcom </t>
    </r>
    <r>
      <rPr>
        <sz val="10"/>
        <color rgb="FF404040"/>
        <rFont val="DejaVu Sans"/>
        <family val="2"/>
      </rPr>
      <t xml:space="preserve">之 </t>
    </r>
    <r>
      <rPr>
        <sz val="10"/>
        <color rgb="FF404040"/>
        <rFont val="Times New Roman"/>
        <family val="0"/>
        <charset val="1"/>
      </rPr>
      <t xml:space="preserve">EBITDA </t>
    </r>
    <r>
      <rPr>
        <sz val="10"/>
        <color rgb="FF404040"/>
        <rFont val="DejaVu Sans"/>
        <family val="2"/>
      </rPr>
      <t xml:space="preserve">由「</t>
    </r>
    <r>
      <rPr>
        <sz val="10"/>
        <color rgb="FF404040"/>
        <rFont val="Times New Roman"/>
        <family val="0"/>
        <charset val="1"/>
      </rPr>
      <t xml:space="preserve">EV ÷ </t>
    </r>
    <r>
      <rPr>
        <sz val="10"/>
        <color rgb="FF404040"/>
        <rFont val="DejaVu Sans"/>
        <family val="2"/>
      </rPr>
      <t xml:space="preserve">報導 </t>
    </r>
    <r>
      <rPr>
        <sz val="10"/>
        <color rgb="FF404040"/>
        <rFont val="Times New Roman"/>
        <family val="0"/>
        <charset val="1"/>
      </rPr>
      <t xml:space="preserve">EV/EBITDA</t>
    </r>
    <r>
      <rPr>
        <sz val="10"/>
        <color rgb="FF404040"/>
        <rFont val="DejaVu Sans"/>
        <family val="2"/>
      </rPr>
      <t xml:space="preserve">」推算（</t>
    </r>
    <r>
      <rPr>
        <sz val="10"/>
        <color rgb="FF404040"/>
        <rFont val="Times New Roman"/>
        <family val="0"/>
        <charset val="1"/>
      </rPr>
      <t xml:space="preserve">GAAP </t>
    </r>
    <r>
      <rPr>
        <sz val="10"/>
        <color rgb="FF404040"/>
        <rFont val="DejaVu Sans"/>
        <family val="2"/>
      </rPr>
      <t xml:space="preserve">基礎）；</t>
    </r>
    <r>
      <rPr>
        <sz val="10"/>
        <color rgb="FF404040"/>
        <rFont val="Times New Roman"/>
        <family val="0"/>
        <charset val="1"/>
      </rPr>
      <t xml:space="preserve">Broadcom </t>
    </r>
    <r>
      <rPr>
        <sz val="10"/>
        <color rgb="FF404040"/>
        <rFont val="DejaVu Sans"/>
        <family val="2"/>
      </rPr>
      <t xml:space="preserve">另報導較高之 </t>
    </r>
    <r>
      <rPr>
        <sz val="10"/>
        <color rgb="FF404040"/>
        <rFont val="Times New Roman"/>
        <family val="0"/>
        <charset val="1"/>
      </rPr>
      <t xml:space="preserve">adjusted EBITDA</t>
    </r>
    <r>
      <rPr>
        <sz val="10"/>
        <color rgb="FF404040"/>
        <rFont val="DejaVu Sans"/>
        <family val="2"/>
      </rPr>
      <t xml:space="preserve">（排除併購攤銷）。其餘為資料源報導之 </t>
    </r>
    <r>
      <rPr>
        <sz val="10"/>
        <color rgb="FF404040"/>
        <rFont val="Times New Roman"/>
        <family val="0"/>
        <charset val="1"/>
      </rPr>
      <t xml:space="preserve">TTM EBITDA</t>
    </r>
    <r>
      <rPr>
        <sz val="10"/>
        <color rgb="FF404040"/>
        <rFont val="DejaVu Sans"/>
        <family val="2"/>
      </rPr>
      <t xml:space="preserve">。</t>
    </r>
  </si>
  <si>
    <r>
      <rPr>
        <sz val="10"/>
        <color rgb="FF404040"/>
        <rFont val="DejaVu Sans"/>
        <family val="2"/>
      </rPr>
      <t xml:space="preserve">• 公式：</t>
    </r>
    <r>
      <rPr>
        <sz val="10"/>
        <color rgb="FF404040"/>
        <rFont val="Times New Roman"/>
        <family val="0"/>
        <charset val="1"/>
      </rPr>
      <t xml:space="preserve">EBITDA </t>
    </r>
    <r>
      <rPr>
        <sz val="10"/>
        <color rgb="FF404040"/>
        <rFont val="DejaVu Sans"/>
        <family val="2"/>
      </rPr>
      <t xml:space="preserve">利潤率＝</t>
    </r>
    <r>
      <rPr>
        <sz val="10"/>
        <color rgb="FF404040"/>
        <rFont val="Times New Roman"/>
        <family val="0"/>
        <charset val="1"/>
      </rPr>
      <t xml:space="preserve">EBITDA ÷ </t>
    </r>
    <r>
      <rPr>
        <sz val="10"/>
        <color rgb="FF404040"/>
        <rFont val="DejaVu Sans"/>
        <family val="2"/>
      </rPr>
      <t xml:space="preserve">營收；</t>
    </r>
    <r>
      <rPr>
        <sz val="10"/>
        <color rgb="FF404040"/>
        <rFont val="Times New Roman"/>
        <family val="0"/>
        <charset val="1"/>
      </rPr>
      <t xml:space="preserve">EV/</t>
    </r>
    <r>
      <rPr>
        <sz val="10"/>
        <color rgb="FF404040"/>
        <rFont val="DejaVu Sans"/>
        <family val="2"/>
      </rPr>
      <t xml:space="preserve">營收＝企業價值 </t>
    </r>
    <r>
      <rPr>
        <sz val="10"/>
        <color rgb="FF404040"/>
        <rFont val="Times New Roman"/>
        <family val="0"/>
        <charset val="1"/>
      </rPr>
      <t xml:space="preserve">÷ </t>
    </r>
    <r>
      <rPr>
        <sz val="10"/>
        <color rgb="FF404040"/>
        <rFont val="DejaVu Sans"/>
        <family val="2"/>
      </rPr>
      <t xml:space="preserve">營收；</t>
    </r>
    <r>
      <rPr>
        <sz val="10"/>
        <color rgb="FF404040"/>
        <rFont val="Times New Roman"/>
        <family val="0"/>
        <charset val="1"/>
      </rPr>
      <t xml:space="preserve">EV/EBITDA</t>
    </r>
    <r>
      <rPr>
        <sz val="10"/>
        <color rgb="FF404040"/>
        <rFont val="DejaVu Sans"/>
        <family val="2"/>
      </rPr>
      <t xml:space="preserve">＝企業價值 </t>
    </r>
    <r>
      <rPr>
        <sz val="10"/>
        <color rgb="FF404040"/>
        <rFont val="Times New Roman"/>
        <family val="0"/>
        <charset val="1"/>
      </rPr>
      <t xml:space="preserve">÷ EBITDA</t>
    </r>
    <r>
      <rPr>
        <sz val="10"/>
        <color rgb="FF404040"/>
        <rFont val="DejaVu Sans"/>
        <family val="2"/>
      </rPr>
      <t xml:space="preserve">。估值區塊之倍數均交叉參照營運區塊之營收與 </t>
    </r>
    <r>
      <rPr>
        <sz val="10"/>
        <color rgb="FF404040"/>
        <rFont val="Times New Roman"/>
        <family val="0"/>
        <charset val="1"/>
      </rPr>
      <t xml:space="preserve">EBITDA</t>
    </r>
    <r>
      <rPr>
        <sz val="10"/>
        <color rgb="FF404040"/>
        <rFont val="DejaVu Sans"/>
        <family val="2"/>
      </rPr>
      <t xml:space="preserve">。</t>
    </r>
  </si>
  <si>
    <r>
      <rPr>
        <sz val="10"/>
        <color rgb="FF404040"/>
        <rFont val="DejaVu Sans"/>
        <family val="2"/>
      </rPr>
      <t xml:space="preserve">• 重點觀察：</t>
    </r>
    <r>
      <rPr>
        <sz val="10"/>
        <color rgb="FF404040"/>
        <rFont val="Times New Roman"/>
        <family val="0"/>
        <charset val="1"/>
      </rPr>
      <t xml:space="preserve">TSMC </t>
    </r>
    <r>
      <rPr>
        <sz val="10"/>
        <color rgb="FF404040"/>
        <rFont val="DejaVu Sans"/>
        <family val="2"/>
      </rPr>
      <t xml:space="preserve">在五家中估值倍數最低（</t>
    </r>
    <r>
      <rPr>
        <sz val="10"/>
        <color rgb="FF404040"/>
        <rFont val="Times New Roman"/>
        <family val="0"/>
        <charset val="1"/>
      </rPr>
      <t xml:space="preserve">EV/</t>
    </r>
    <r>
      <rPr>
        <sz val="10"/>
        <color rgb="FF404040"/>
        <rFont val="DejaVu Sans"/>
        <family val="2"/>
      </rPr>
      <t xml:space="preserve">營收、</t>
    </r>
    <r>
      <rPr>
        <sz val="10"/>
        <color rgb="FF404040"/>
        <rFont val="Times New Roman"/>
        <family val="0"/>
        <charset val="1"/>
      </rPr>
      <t xml:space="preserve">EV/EBITDA</t>
    </r>
    <r>
      <rPr>
        <sz val="10"/>
        <color rgb="FF404040"/>
        <rFont val="DejaVu Sans"/>
        <family val="2"/>
      </rPr>
      <t xml:space="preserve">、</t>
    </r>
    <r>
      <rPr>
        <sz val="10"/>
        <color rgb="FF404040"/>
        <rFont val="Times New Roman"/>
        <family val="0"/>
        <charset val="1"/>
      </rPr>
      <t xml:space="preserve">P/E </t>
    </r>
    <r>
      <rPr>
        <sz val="10"/>
        <color rgb="FF404040"/>
        <rFont val="DejaVu Sans"/>
        <family val="2"/>
      </rPr>
      <t xml:space="preserve">皆為組內最低），卻是其餘四家共同依賴的製造基礎；</t>
    </r>
    <r>
      <rPr>
        <sz val="10"/>
        <color rgb="FF404040"/>
        <rFont val="Times New Roman"/>
        <family val="0"/>
        <charset val="1"/>
      </rPr>
      <t xml:space="preserve">ARM </t>
    </r>
    <r>
      <rPr>
        <sz val="10"/>
        <color rgb="FF404040"/>
        <rFont val="DejaVu Sans"/>
        <family val="2"/>
      </rPr>
      <t xml:space="preserve">估值最高（</t>
    </r>
    <r>
      <rPr>
        <sz val="10"/>
        <color rgb="FF404040"/>
        <rFont val="Times New Roman"/>
        <family val="0"/>
        <charset val="1"/>
      </rPr>
      <t xml:space="preserve">P/E </t>
    </r>
    <r>
      <rPr>
        <sz val="10"/>
        <color rgb="FF404040"/>
        <rFont val="DejaVu Sans"/>
        <family val="2"/>
      </rPr>
      <t xml:space="preserve">近 </t>
    </r>
    <r>
      <rPr>
        <sz val="10"/>
        <color rgb="FF404040"/>
        <rFont val="Times New Roman"/>
        <family val="0"/>
        <charset val="1"/>
      </rPr>
      <t xml:space="preserve">290 </t>
    </r>
    <r>
      <rPr>
        <sz val="10"/>
        <color rgb="FF404040"/>
        <rFont val="DejaVu Sans"/>
        <family val="2"/>
      </rPr>
      <t xml:space="preserve">倍），反映市場對其 </t>
    </r>
    <r>
      <rPr>
        <sz val="10"/>
        <color rgb="FF404040"/>
        <rFont val="Times New Roman"/>
        <family val="0"/>
        <charset val="1"/>
      </rPr>
      <t xml:space="preserve">AI </t>
    </r>
    <r>
      <rPr>
        <sz val="10"/>
        <color rgb="FF404040"/>
        <rFont val="DejaVu Sans"/>
        <family val="2"/>
      </rPr>
      <t xml:space="preserve">權利金成長的高度期待。</t>
    </r>
  </si>
  <si>
    <t xml:space="preserve">• 免責聲明：本表為財務資訊彙整與技能示範，不構成投資建議、不保證準確性。投資決策應自行評估並諮詢合格專業人士。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</si>
</sst>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Times New Roman"/>
      <family val="0"/>
      <charset val="1"/>
    </font>
    <font>
      <b val="true"/>
      <sz val="11"/>
      <color rgb="FF000000"/>
      <name val="DejaVu Sans"/>
      <family val="2"/>
    </font>
    <font>
      <b val="true"/>
      <sz val="11"/>
      <color rgb="FF000000"/>
      <name val="Times New Roman"/>
      <family val="0"/>
      <charset val="1"/>
    </font>
    <font>
      <sz val="10"/>
      <color rgb="FF595959"/>
      <name val="DejaVu Sans"/>
      <family val="2"/>
    </font>
    <font>
      <sz val="10"/>
      <color rgb="FF595959"/>
      <name val="Times New Roman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name val="Times New Roman"/>
      <family val="0"/>
      <charset val="1"/>
    </font>
    <font>
      <sz val="10"/>
      <color rgb="FF404040"/>
      <name val="DejaVu Sans"/>
      <family val="2"/>
    </font>
    <font>
      <sz val="10"/>
      <color rgb="FF404040"/>
      <name val="Times New Roman"/>
      <family val="0"/>
      <charset val="1"/>
    </font>
    <font>
      <sz val="10"/>
      <name val="Arial"/>
      <family val="2"/>
    </font>
    <font>
      <sz val="1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2.6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4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1.75" hidden="false" customHeight="true" outlineLevel="0" collapsed="false">
      <c r="A6" s="5" t="s">
        <v>4</v>
      </c>
      <c r="B6" s="6" t="s">
        <v>5</v>
      </c>
      <c r="C6" s="6" t="s">
        <v>6</v>
      </c>
      <c r="D6" s="6" t="s">
        <v>7</v>
      </c>
      <c r="E6" s="7" t="s">
        <v>8</v>
      </c>
      <c r="F6" s="7" t="s">
        <v>9</v>
      </c>
    </row>
    <row r="7" customFormat="false" ht="21.75" hidden="false" customHeight="true" outlineLevel="0" collapsed="false">
      <c r="A7" s="8" t="s">
        <v>10</v>
      </c>
      <c r="B7" s="9" t="n">
        <v>121910</v>
      </c>
      <c r="C7" s="10" t="n">
        <v>0.351</v>
      </c>
      <c r="D7" s="10" t="n">
        <v>0.596</v>
      </c>
      <c r="E7" s="9" t="n">
        <v>93900</v>
      </c>
      <c r="F7" s="11" t="n">
        <f aca="false">E7/B7</f>
        <v>0.770240341235338</v>
      </c>
    </row>
    <row r="8" customFormat="false" ht="21.75" hidden="false" customHeight="true" outlineLevel="0" collapsed="false">
      <c r="A8" s="12" t="s">
        <v>11</v>
      </c>
      <c r="B8" s="9" t="n">
        <v>215938</v>
      </c>
      <c r="C8" s="10" t="n">
        <v>0.85</v>
      </c>
      <c r="D8" s="10" t="n">
        <v>0.711</v>
      </c>
      <c r="E8" s="9" t="n">
        <v>144552</v>
      </c>
      <c r="F8" s="11" t="n">
        <f aca="false">E8/B8</f>
        <v>0.669414368939233</v>
      </c>
    </row>
    <row r="9" customFormat="false" ht="21.75" hidden="false" customHeight="true" outlineLevel="0" collapsed="false">
      <c r="A9" s="12" t="s">
        <v>12</v>
      </c>
      <c r="B9" s="9" t="n">
        <v>37450</v>
      </c>
      <c r="C9" s="10" t="n">
        <v>0.38</v>
      </c>
      <c r="D9" s="10" t="n">
        <v>0.503</v>
      </c>
      <c r="E9" s="9" t="n">
        <v>8086</v>
      </c>
      <c r="F9" s="11" t="n">
        <f aca="false">E9/B9</f>
        <v>0.215914552736983</v>
      </c>
    </row>
    <row r="10" customFormat="false" ht="21.75" hidden="false" customHeight="true" outlineLevel="0" collapsed="false">
      <c r="A10" s="12" t="s">
        <v>13</v>
      </c>
      <c r="B10" s="9" t="n">
        <v>68282</v>
      </c>
      <c r="C10" s="10" t="n">
        <v>0.29</v>
      </c>
      <c r="D10" s="10" t="n">
        <v>0.77</v>
      </c>
      <c r="E10" s="9" t="n">
        <v>37200</v>
      </c>
      <c r="F10" s="11" t="n">
        <f aca="false">E10/B10</f>
        <v>0.544799507923025</v>
      </c>
    </row>
    <row r="11" customFormat="false" ht="21.75" hidden="false" customHeight="true" outlineLevel="0" collapsed="false">
      <c r="A11" s="12" t="s">
        <v>14</v>
      </c>
      <c r="B11" s="9" t="n">
        <v>4920</v>
      </c>
      <c r="C11" s="10" t="n">
        <v>0.2</v>
      </c>
      <c r="D11" s="10" t="n">
        <v>0.96</v>
      </c>
      <c r="E11" s="9" t="n">
        <v>1157</v>
      </c>
      <c r="F11" s="11" t="n">
        <f aca="false">E11/B11</f>
        <v>0.235162601626016</v>
      </c>
    </row>
    <row r="12" customFormat="false" ht="21.75" hidden="false" customHeight="true" outlineLevel="0" collapsed="false"/>
    <row r="13" customFormat="false" ht="21.75" hidden="false" customHeight="true" outlineLevel="0" collapsed="false">
      <c r="A13" s="13" t="s">
        <v>15</v>
      </c>
      <c r="B13" s="14"/>
      <c r="C13" s="15" t="n">
        <f aca="false">MAX(C7:C11)</f>
        <v>0.85</v>
      </c>
      <c r="D13" s="15" t="n">
        <f aca="false">MAX(D7:D11)</f>
        <v>0.96</v>
      </c>
      <c r="E13" s="14"/>
      <c r="F13" s="15" t="n">
        <f aca="false">MAX(F7:F11)</f>
        <v>0.770240341235338</v>
      </c>
    </row>
    <row r="14" customFormat="false" ht="21.75" hidden="false" customHeight="true" outlineLevel="0" collapsed="false">
      <c r="A14" s="16" t="s">
        <v>16</v>
      </c>
      <c r="B14" s="14"/>
      <c r="C14" s="15" t="n">
        <f aca="false">QUARTILE(C7:C11,3)</f>
        <v>0.38</v>
      </c>
      <c r="D14" s="15" t="n">
        <f aca="false">QUARTILE(D7:D11,3)</f>
        <v>0.77</v>
      </c>
      <c r="E14" s="14"/>
      <c r="F14" s="15" t="n">
        <f aca="false">QUARTILE(F7:F11,3)</f>
        <v>0.669414368939233</v>
      </c>
    </row>
    <row r="15" customFormat="false" ht="21.75" hidden="false" customHeight="true" outlineLevel="0" collapsed="false">
      <c r="A15" s="13" t="s">
        <v>17</v>
      </c>
      <c r="B15" s="14"/>
      <c r="C15" s="15" t="n">
        <f aca="false">MEDIAN(C7:C11)</f>
        <v>0.351</v>
      </c>
      <c r="D15" s="15" t="n">
        <f aca="false">MEDIAN(D7:D11)</f>
        <v>0.711</v>
      </c>
      <c r="E15" s="14"/>
      <c r="F15" s="15" t="n">
        <f aca="false">MEDIAN(F7:F11)</f>
        <v>0.544799507923025</v>
      </c>
    </row>
    <row r="16" customFormat="false" ht="21.75" hidden="false" customHeight="true" outlineLevel="0" collapsed="false">
      <c r="A16" s="16" t="s">
        <v>18</v>
      </c>
      <c r="B16" s="14"/>
      <c r="C16" s="15" t="n">
        <f aca="false">QUARTILE(C7:C11,1)</f>
        <v>0.29</v>
      </c>
      <c r="D16" s="15" t="n">
        <f aca="false">QUARTILE(D7:D11,1)</f>
        <v>0.596</v>
      </c>
      <c r="E16" s="14"/>
      <c r="F16" s="15" t="n">
        <f aca="false">QUARTILE(F7:F11,1)</f>
        <v>0.235162601626016</v>
      </c>
    </row>
    <row r="17" customFormat="false" ht="21.75" hidden="false" customHeight="true" outlineLevel="0" collapsed="false">
      <c r="A17" s="13" t="s">
        <v>19</v>
      </c>
      <c r="B17" s="14"/>
      <c r="C17" s="15" t="n">
        <f aca="false">MIN(C7:C11)</f>
        <v>0.2</v>
      </c>
      <c r="D17" s="15" t="n">
        <f aca="false">MIN(D7:D11)</f>
        <v>0.503</v>
      </c>
      <c r="E17" s="14"/>
      <c r="F17" s="15" t="n">
        <f aca="false">MIN(F7:F11)</f>
        <v>0.215914552736983</v>
      </c>
    </row>
    <row r="19" customFormat="false" ht="24" hidden="false" customHeight="true" outlineLevel="0" collapsed="false">
      <c r="A19" s="4" t="s">
        <v>20</v>
      </c>
      <c r="B19" s="4"/>
      <c r="C19" s="4"/>
      <c r="D19" s="4"/>
      <c r="E19" s="4"/>
      <c r="F19" s="4"/>
    </row>
    <row r="20" customFormat="false" ht="21.75" hidden="false" customHeight="true" outlineLevel="0" collapsed="false">
      <c r="A20" s="5" t="s">
        <v>4</v>
      </c>
      <c r="B20" s="6" t="s">
        <v>21</v>
      </c>
      <c r="C20" s="6" t="s">
        <v>22</v>
      </c>
      <c r="D20" s="7" t="s">
        <v>23</v>
      </c>
      <c r="E20" s="7" t="s">
        <v>24</v>
      </c>
      <c r="F20" s="6" t="s">
        <v>25</v>
      </c>
    </row>
    <row r="21" customFormat="false" ht="21.75" hidden="false" customHeight="true" outlineLevel="0" collapsed="false">
      <c r="A21" s="8" t="s">
        <v>10</v>
      </c>
      <c r="B21" s="9" t="n">
        <v>1800000</v>
      </c>
      <c r="C21" s="9" t="n">
        <v>1700000</v>
      </c>
      <c r="D21" s="17" t="n">
        <f aca="false">C21/B7</f>
        <v>13.9447133130998</v>
      </c>
      <c r="E21" s="17" t="n">
        <f aca="false">C21/E7</f>
        <v>18.1043663471778</v>
      </c>
      <c r="F21" s="18" t="n">
        <v>31.2</v>
      </c>
    </row>
    <row r="22" customFormat="false" ht="21.75" hidden="false" customHeight="true" outlineLevel="0" collapsed="false">
      <c r="A22" s="12" t="s">
        <v>11</v>
      </c>
      <c r="B22" s="9" t="n">
        <v>5410000</v>
      </c>
      <c r="C22" s="9" t="n">
        <v>5331177</v>
      </c>
      <c r="D22" s="17" t="n">
        <f aca="false">C22/B8</f>
        <v>24.6884615028388</v>
      </c>
      <c r="E22" s="17" t="n">
        <f aca="false">C22/E8</f>
        <v>36.8806865349494</v>
      </c>
      <c r="F22" s="18" t="n">
        <v>45</v>
      </c>
    </row>
    <row r="23" customFormat="false" ht="21.75" hidden="false" customHeight="true" outlineLevel="0" collapsed="false">
      <c r="A23" s="12" t="s">
        <v>12</v>
      </c>
      <c r="B23" s="9" t="n">
        <v>729820</v>
      </c>
      <c r="C23" s="9" t="n">
        <v>712641</v>
      </c>
      <c r="D23" s="17" t="n">
        <f aca="false">C23/B9</f>
        <v>19.029132176235</v>
      </c>
      <c r="E23" s="17" t="n">
        <f aca="false">C23/E9</f>
        <v>88.1326984912194</v>
      </c>
      <c r="F23" s="18" t="n">
        <v>141</v>
      </c>
    </row>
    <row r="24" customFormat="false" ht="21.75" hidden="false" customHeight="true" outlineLevel="0" collapsed="false">
      <c r="A24" s="12" t="s">
        <v>13</v>
      </c>
      <c r="B24" s="9" t="n">
        <v>2030000</v>
      </c>
      <c r="C24" s="9" t="n">
        <v>2080000</v>
      </c>
      <c r="D24" s="17" t="n">
        <f aca="false">C24/B10</f>
        <v>30.4619079698896</v>
      </c>
      <c r="E24" s="17" t="n">
        <f aca="false">C24/E10</f>
        <v>55.9139784946237</v>
      </c>
      <c r="F24" s="18" t="n">
        <v>83.8</v>
      </c>
    </row>
    <row r="25" customFormat="false" ht="21.75" hidden="false" customHeight="true" outlineLevel="0" collapsed="false">
      <c r="A25" s="12" t="s">
        <v>14</v>
      </c>
      <c r="B25" s="9" t="n">
        <v>237430</v>
      </c>
      <c r="C25" s="9" t="n">
        <v>234260</v>
      </c>
      <c r="D25" s="17" t="n">
        <f aca="false">C25/B11</f>
        <v>47.6138211382114</v>
      </c>
      <c r="E25" s="17" t="n">
        <f aca="false">C25/E11</f>
        <v>202.47191011236</v>
      </c>
      <c r="F25" s="18" t="n">
        <v>290</v>
      </c>
    </row>
    <row r="26" customFormat="false" ht="21.75" hidden="false" customHeight="true" outlineLevel="0" collapsed="false"/>
    <row r="27" customFormat="false" ht="21.75" hidden="false" customHeight="true" outlineLevel="0" collapsed="false">
      <c r="A27" s="13" t="s">
        <v>15</v>
      </c>
      <c r="B27" s="14"/>
      <c r="C27" s="14"/>
      <c r="D27" s="19" t="n">
        <f aca="false">MAX(D21:D25)</f>
        <v>47.6138211382114</v>
      </c>
      <c r="E27" s="19" t="n">
        <f aca="false">MAX(E21:E25)</f>
        <v>202.47191011236</v>
      </c>
      <c r="F27" s="19" t="n">
        <f aca="false">MAX(F21:F25)</f>
        <v>290</v>
      </c>
    </row>
    <row r="28" customFormat="false" ht="21.75" hidden="false" customHeight="true" outlineLevel="0" collapsed="false">
      <c r="A28" s="16" t="s">
        <v>16</v>
      </c>
      <c r="B28" s="14"/>
      <c r="C28" s="14"/>
      <c r="D28" s="19" t="n">
        <f aca="false">QUARTILE(D21:D25,3)</f>
        <v>30.4619079698896</v>
      </c>
      <c r="E28" s="19" t="n">
        <f aca="false">QUARTILE(E21:E25,3)</f>
        <v>88.1326984912194</v>
      </c>
      <c r="F28" s="19" t="n">
        <f aca="false">QUARTILE(F21:F25,3)</f>
        <v>141</v>
      </c>
    </row>
    <row r="29" customFormat="false" ht="21.75" hidden="false" customHeight="true" outlineLevel="0" collapsed="false">
      <c r="A29" s="13" t="s">
        <v>17</v>
      </c>
      <c r="B29" s="14"/>
      <c r="C29" s="14"/>
      <c r="D29" s="19" t="n">
        <f aca="false">MEDIAN(D21:D25)</f>
        <v>24.6884615028388</v>
      </c>
      <c r="E29" s="19" t="n">
        <f aca="false">MEDIAN(E21:E25)</f>
        <v>55.9139784946237</v>
      </c>
      <c r="F29" s="19" t="n">
        <f aca="false">MEDIAN(F21:F25)</f>
        <v>83.8</v>
      </c>
    </row>
    <row r="30" customFormat="false" ht="21.75" hidden="false" customHeight="true" outlineLevel="0" collapsed="false">
      <c r="A30" s="16" t="s">
        <v>18</v>
      </c>
      <c r="B30" s="14"/>
      <c r="C30" s="14"/>
      <c r="D30" s="19" t="n">
        <f aca="false">QUARTILE(D21:D25,1)</f>
        <v>19.029132176235</v>
      </c>
      <c r="E30" s="19" t="n">
        <f aca="false">QUARTILE(E21:E25,1)</f>
        <v>36.8806865349494</v>
      </c>
      <c r="F30" s="19" t="n">
        <f aca="false">QUARTILE(F21:F25,1)</f>
        <v>45</v>
      </c>
    </row>
    <row r="31" customFormat="false" ht="21.75" hidden="false" customHeight="true" outlineLevel="0" collapsed="false">
      <c r="A31" s="13" t="s">
        <v>19</v>
      </c>
      <c r="B31" s="14"/>
      <c r="C31" s="14"/>
      <c r="D31" s="19" t="n">
        <f aca="false">MIN(D21:D25)</f>
        <v>13.9447133130998</v>
      </c>
      <c r="E31" s="19" t="n">
        <f aca="false">MIN(E21:E25)</f>
        <v>18.1043663471778</v>
      </c>
      <c r="F31" s="19" t="n">
        <f aca="false">MIN(F21:F25)</f>
        <v>31.2</v>
      </c>
    </row>
    <row r="33" customFormat="false" ht="24" hidden="false" customHeight="true" outlineLevel="0" collapsed="false">
      <c r="A33" s="4" t="s">
        <v>26</v>
      </c>
      <c r="B33" s="4"/>
      <c r="C33" s="4"/>
      <c r="D33" s="4"/>
      <c r="E33" s="4"/>
      <c r="F33" s="4"/>
    </row>
    <row r="34" customFormat="false" ht="45.75" hidden="false" customHeight="true" outlineLevel="0" collapsed="false">
      <c r="A34" s="20" t="s">
        <v>27</v>
      </c>
      <c r="B34" s="20"/>
      <c r="C34" s="20"/>
      <c r="D34" s="20"/>
      <c r="E34" s="20"/>
      <c r="F34" s="20"/>
    </row>
    <row r="35" customFormat="false" ht="45.75" hidden="false" customHeight="true" outlineLevel="0" collapsed="false">
      <c r="A35" s="20" t="s">
        <v>28</v>
      </c>
      <c r="B35" s="20"/>
      <c r="C35" s="20"/>
      <c r="D35" s="20"/>
      <c r="E35" s="20"/>
      <c r="F35" s="20"/>
    </row>
    <row r="36" customFormat="false" ht="45.75" hidden="false" customHeight="true" outlineLevel="0" collapsed="false">
      <c r="A36" s="20" t="s">
        <v>29</v>
      </c>
      <c r="B36" s="20"/>
      <c r="C36" s="20"/>
      <c r="D36" s="20"/>
      <c r="E36" s="20"/>
      <c r="F36" s="20"/>
    </row>
    <row r="37" customFormat="false" ht="45.75" hidden="false" customHeight="true" outlineLevel="0" collapsed="false">
      <c r="A37" s="21" t="s">
        <v>30</v>
      </c>
      <c r="B37" s="21"/>
      <c r="C37" s="21"/>
      <c r="D37" s="21"/>
      <c r="E37" s="21"/>
      <c r="F37" s="21"/>
    </row>
    <row r="38" customFormat="false" ht="45.75" hidden="false" customHeight="true" outlineLevel="0" collapsed="false">
      <c r="A38" s="20" t="s">
        <v>31</v>
      </c>
      <c r="B38" s="20"/>
      <c r="C38" s="20"/>
      <c r="D38" s="20"/>
      <c r="E38" s="20"/>
      <c r="F38" s="20"/>
    </row>
    <row r="39" customFormat="false" ht="45.75" hidden="false" customHeight="true" outlineLevel="0" collapsed="false">
      <c r="A39" s="20" t="s">
        <v>32</v>
      </c>
      <c r="B39" s="20"/>
      <c r="C39" s="20"/>
      <c r="D39" s="20"/>
      <c r="E39" s="20"/>
      <c r="F39" s="20"/>
    </row>
    <row r="40" customFormat="false" ht="45.75" hidden="false" customHeight="true" outlineLevel="0" collapsed="false">
      <c r="A40" s="20" t="s">
        <v>33</v>
      </c>
      <c r="B40" s="20"/>
      <c r="C40" s="20"/>
      <c r="D40" s="20"/>
      <c r="E40" s="20"/>
      <c r="F40" s="20"/>
    </row>
  </sheetData>
  <mergeCells count="13">
    <mergeCell ref="A1:F1"/>
    <mergeCell ref="A2:F2"/>
    <mergeCell ref="A3:F3"/>
    <mergeCell ref="A5:F5"/>
    <mergeCell ref="A19:F19"/>
    <mergeCell ref="A33:F33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2026-05-21T09:03:50Z</dcterms:created>
  <dc:creator>openpyxl</dc:creator>
  <dc:description/>
  <dc:language>en-US</dc:language>
  <cp:lastModifiedBy/>
  <dcterms:modified xsi:type="dcterms:W3CDTF">2026-05-21T09:03:50Z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