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DCF Model</author>
  </authors>
  <commentList>
    <comment ref="A56" authorId="0">
      <text>
        <r>
          <rPr>
            <sz val="10"/>
            <rFont val="DejaVu Sans"/>
            <family val="2"/>
          </rPr>
          <t xml:space="preserve">敏感度軸假設 — </t>
        </r>
        <r>
          <rPr>
            <sz val="10"/>
            <rFont val="Arial"/>
            <family val="2"/>
            <charset val="1"/>
          </rPr>
          <t xml:space="preserve">WACC</t>
        </r>
        <r>
          <rPr>
            <sz val="10"/>
            <rFont val="DejaVu Sans"/>
            <family val="2"/>
          </rPr>
          <t xml:space="preserve">。</t>
        </r>
      </text>
    </comment>
    <comment ref="A57" authorId="0">
      <text>
        <r>
          <rPr>
            <sz val="10"/>
            <rFont val="DejaVu Sans"/>
            <family val="2"/>
          </rPr>
          <t xml:space="preserve">敏感度軸假設 — </t>
        </r>
        <r>
          <rPr>
            <sz val="10"/>
            <rFont val="Arial"/>
            <family val="2"/>
            <charset val="1"/>
          </rPr>
          <t xml:space="preserve">WACC</t>
        </r>
        <r>
          <rPr>
            <sz val="10"/>
            <rFont val="DejaVu Sans"/>
            <family val="2"/>
          </rPr>
          <t xml:space="preserve">。</t>
        </r>
      </text>
    </comment>
    <comment ref="A58" authorId="0">
      <text>
        <r>
          <rPr>
            <sz val="10"/>
            <rFont val="DejaVu Sans"/>
            <family val="2"/>
          </rPr>
          <t xml:space="preserve">敏感度軸假設 — </t>
        </r>
        <r>
          <rPr>
            <sz val="10"/>
            <rFont val="Arial"/>
            <family val="2"/>
            <charset val="1"/>
          </rPr>
          <t xml:space="preserve">WACC</t>
        </r>
        <r>
          <rPr>
            <sz val="10"/>
            <rFont val="DejaVu Sans"/>
            <family val="2"/>
          </rPr>
          <t xml:space="preserve">。</t>
        </r>
      </text>
    </comment>
    <comment ref="A59" authorId="0">
      <text>
        <r>
          <rPr>
            <sz val="10"/>
            <rFont val="DejaVu Sans"/>
            <family val="2"/>
          </rPr>
          <t xml:space="preserve">敏感度軸假設 — </t>
        </r>
        <r>
          <rPr>
            <sz val="10"/>
            <rFont val="Arial"/>
            <family val="2"/>
            <charset val="1"/>
          </rPr>
          <t xml:space="preserve">WACC</t>
        </r>
        <r>
          <rPr>
            <sz val="10"/>
            <rFont val="DejaVu Sans"/>
            <family val="2"/>
          </rPr>
          <t xml:space="preserve">。</t>
        </r>
      </text>
    </comment>
    <comment ref="A60" authorId="0">
      <text>
        <r>
          <rPr>
            <sz val="10"/>
            <rFont val="DejaVu Sans"/>
            <family val="2"/>
          </rPr>
          <t xml:space="preserve">敏感度軸假設 — </t>
        </r>
        <r>
          <rPr>
            <sz val="10"/>
            <rFont val="Arial"/>
            <family val="2"/>
            <charset val="1"/>
          </rPr>
          <t xml:space="preserve">WACC</t>
        </r>
        <r>
          <rPr>
            <sz val="10"/>
            <rFont val="DejaVu Sans"/>
            <family val="2"/>
          </rPr>
          <t xml:space="preserve">。</t>
        </r>
      </text>
    </comment>
    <comment ref="B5" authorId="0">
      <text>
        <r>
          <rPr>
            <sz val="10"/>
            <rFont val="DejaVu Sans"/>
            <family val="2"/>
          </rPr>
          <t xml:space="preserve">示範用途。</t>
        </r>
        <r>
          <rPr>
            <sz val="10"/>
            <rFont val="Arial"/>
            <family val="2"/>
            <charset val="1"/>
          </rPr>
          <t xml:space="preserve">NVDA FY2026 </t>
        </r>
        <r>
          <rPr>
            <sz val="10"/>
            <rFont val="DejaVu Sans"/>
            <family val="2"/>
          </rPr>
          <t xml:space="preserve">營收採用使用者提供之實際值約 </t>
        </r>
        <r>
          <rPr>
            <sz val="10"/>
            <rFont val="Arial"/>
            <family val="2"/>
            <charset val="1"/>
          </rPr>
          <t xml:space="preserve">US$215,900mm</t>
        </r>
        <r>
          <rPr>
            <sz val="10"/>
            <rFont val="DejaVu Sans"/>
            <family val="2"/>
          </rPr>
          <t xml:space="preserve">。資料基準 </t>
        </r>
        <r>
          <rPr>
            <sz val="10"/>
            <rFont val="Arial"/>
            <family val="2"/>
            <charset val="1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B6" authorId="0">
      <text>
        <r>
          <rPr>
            <sz val="10"/>
            <rFont val="DejaVu Sans"/>
            <family val="2"/>
          </rPr>
          <t xml:space="preserve">示範性假設。有效稅率設為 </t>
        </r>
        <r>
          <rPr>
            <sz val="10"/>
            <rFont val="Arial"/>
            <family val="2"/>
            <charset val="1"/>
          </rPr>
          <t xml:space="preserve">17%</t>
        </r>
        <r>
          <rPr>
            <sz val="10"/>
            <rFont val="DejaVu Sans"/>
            <family val="2"/>
          </rPr>
          <t xml:space="preserve">，符合科技業 </t>
        </r>
        <r>
          <rPr>
            <sz val="10"/>
            <rFont val="Arial"/>
            <family val="2"/>
            <charset val="1"/>
          </rPr>
          <t xml:space="preserve">17-21% </t>
        </r>
        <r>
          <rPr>
            <sz val="10"/>
            <rFont val="DejaVu Sans"/>
            <family val="2"/>
          </rPr>
          <t xml:space="preserve">區間。</t>
        </r>
      </text>
    </comment>
    <comment ref="B7" authorId="0">
      <text>
        <r>
          <rPr>
            <sz val="10"/>
            <rFont val="DejaVu Sans"/>
            <family val="2"/>
          </rPr>
          <t xml:space="preserve">示範性假設。</t>
        </r>
        <r>
          <rPr>
            <sz val="10"/>
            <rFont val="Arial"/>
            <family val="2"/>
            <charset val="1"/>
          </rPr>
          <t xml:space="preserve">D&amp;A </t>
        </r>
        <r>
          <rPr>
            <sz val="10"/>
            <rFont val="DejaVu Sans"/>
            <family val="2"/>
          </rPr>
          <t xml:space="preserve">設為營收的 </t>
        </r>
        <r>
          <rPr>
            <sz val="10"/>
            <rFont val="Arial"/>
            <family val="2"/>
            <charset val="1"/>
          </rPr>
          <t xml:space="preserve">2.0%</t>
        </r>
        <r>
          <rPr>
            <sz val="10"/>
            <rFont val="DejaVu Sans"/>
            <family val="2"/>
          </rPr>
          <t xml:space="preserve">。</t>
        </r>
      </text>
    </comment>
    <comment ref="B8" authorId="0">
      <text>
        <r>
          <rPr>
            <sz val="10"/>
            <rFont val="DejaVu Sans"/>
            <family val="2"/>
          </rPr>
          <t xml:space="preserve">示範性假設。</t>
        </r>
        <r>
          <rPr>
            <sz val="10"/>
            <rFont val="Arial"/>
            <family val="2"/>
            <charset val="1"/>
          </rPr>
          <t xml:space="preserve">Capex </t>
        </r>
        <r>
          <rPr>
            <sz val="10"/>
            <rFont val="DejaVu Sans"/>
            <family val="2"/>
          </rPr>
          <t xml:space="preserve">設為營收的 </t>
        </r>
        <r>
          <rPr>
            <sz val="10"/>
            <rFont val="Arial"/>
            <family val="2"/>
            <charset val="1"/>
          </rPr>
          <t xml:space="preserve">3.5%</t>
        </r>
        <r>
          <rPr>
            <sz val="10"/>
            <rFont val="DejaVu Sans"/>
            <family val="2"/>
          </rPr>
          <t xml:space="preserve">。</t>
        </r>
      </text>
    </comment>
    <comment ref="B9" authorId="0">
      <text>
        <r>
          <rPr>
            <sz val="10"/>
            <rFont val="DejaVu Sans"/>
            <family val="2"/>
          </rPr>
          <t xml:space="preserve">示範性假設。</t>
        </r>
        <r>
          <rPr>
            <sz val="10"/>
            <rFont val="Arial"/>
            <family val="2"/>
            <charset val="1"/>
          </rPr>
          <t xml:space="preserve">ΔNWC </t>
        </r>
        <r>
          <rPr>
            <sz val="10"/>
            <rFont val="DejaVu Sans"/>
            <family val="2"/>
          </rPr>
          <t xml:space="preserve">設為營收年增額的 </t>
        </r>
        <r>
          <rPr>
            <sz val="10"/>
            <rFont val="Arial"/>
            <family val="2"/>
            <charset val="1"/>
          </rPr>
          <t xml:space="preserve">5%</t>
        </r>
        <r>
          <rPr>
            <sz val="10"/>
            <rFont val="DejaVu Sans"/>
            <family val="2"/>
          </rPr>
          <t xml:space="preserve">。</t>
        </r>
      </text>
    </comment>
    <comment ref="B10" authorId="0">
      <text>
        <r>
          <rPr>
            <sz val="10"/>
            <rFont val="DejaVu Sans"/>
            <family val="2"/>
          </rPr>
          <t xml:space="preserve">示範性假設。</t>
        </r>
        <r>
          <rPr>
            <sz val="10"/>
            <rFont val="Arial"/>
            <family val="2"/>
            <charset val="1"/>
          </rPr>
          <t xml:space="preserve">WACC </t>
        </r>
        <r>
          <rPr>
            <sz val="10"/>
            <rFont val="DejaVu Sans"/>
            <family val="2"/>
          </rPr>
          <t xml:space="preserve">設為 </t>
        </r>
        <r>
          <rPr>
            <sz val="10"/>
            <rFont val="Arial"/>
            <family val="2"/>
            <charset val="1"/>
          </rPr>
          <t xml:space="preserve">12.5%</t>
        </r>
        <r>
          <rPr>
            <sz val="10"/>
            <rFont val="DejaVu Sans"/>
            <family val="2"/>
          </rPr>
          <t xml:space="preserve">，反映高成長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DejaVu Sans"/>
            <family val="2"/>
          </rPr>
          <t xml:space="preserve">高風險科技股。</t>
        </r>
      </text>
    </comment>
    <comment ref="B11" authorId="0">
      <text>
        <r>
          <rPr>
            <sz val="10"/>
            <rFont val="DejaVu Sans"/>
            <family val="2"/>
          </rPr>
          <t xml:space="preserve">示範性假設。永續成長率設為 </t>
        </r>
        <r>
          <rPr>
            <sz val="10"/>
            <rFont val="Arial"/>
            <family val="2"/>
            <charset val="1"/>
          </rPr>
          <t xml:space="preserve">4.0%</t>
        </r>
        <r>
          <rPr>
            <sz val="10"/>
            <rFont val="DejaVu Sans"/>
            <family val="2"/>
          </rPr>
          <t xml:space="preserve">，僅適用於市場領導者，須 </t>
        </r>
        <r>
          <rPr>
            <sz val="10"/>
            <rFont val="Arial"/>
            <family val="2"/>
            <charset val="1"/>
          </rPr>
          <t xml:space="preserve">g &lt; WACC</t>
        </r>
        <r>
          <rPr>
            <sz val="10"/>
            <rFont val="DejaVu Sans"/>
            <family val="2"/>
          </rPr>
          <t xml:space="preserve">。</t>
        </r>
      </text>
    </comment>
    <comment ref="B12" authorId="0">
      <text>
        <r>
          <rPr>
            <sz val="10"/>
            <rFont val="DejaVu Sans"/>
            <family val="2"/>
          </rPr>
          <t xml:space="preserve">示範性假設。約 </t>
        </r>
        <r>
          <rPr>
            <sz val="10"/>
            <rFont val="Arial"/>
            <family val="2"/>
            <charset val="1"/>
          </rPr>
          <t xml:space="preserve">244 </t>
        </r>
        <r>
          <rPr>
            <sz val="10"/>
            <rFont val="DejaVu Sans"/>
            <family val="2"/>
          </rPr>
          <t xml:space="preserve">億股 </t>
        </r>
        <r>
          <rPr>
            <sz val="10"/>
            <rFont val="Arial"/>
            <family val="2"/>
            <charset val="1"/>
          </rPr>
          <t xml:space="preserve">(24,400 mm)</t>
        </r>
        <r>
          <rPr>
            <sz val="10"/>
            <rFont val="DejaVu Sans"/>
            <family val="2"/>
          </rPr>
          <t xml:space="preserve">。資料基準 </t>
        </r>
        <r>
          <rPr>
            <sz val="10"/>
            <rFont val="Arial"/>
            <family val="2"/>
            <charset val="1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B13" authorId="0">
      <text>
        <r>
          <rPr>
            <sz val="10"/>
            <rFont val="DejaVu Sans"/>
            <family val="2"/>
          </rPr>
          <t xml:space="preserve">示範性假設。</t>
        </r>
        <r>
          <rPr>
            <sz val="10"/>
            <rFont val="Arial"/>
            <family val="2"/>
            <charset val="1"/>
          </rPr>
          <t xml:space="preserve">NVDA </t>
        </r>
        <r>
          <rPr>
            <sz val="10"/>
            <rFont val="DejaVu Sans"/>
            <family val="2"/>
          </rPr>
          <t xml:space="preserve">為淨現金部位 </t>
        </r>
        <r>
          <rPr>
            <sz val="10"/>
            <rFont val="Arial"/>
            <family val="2"/>
            <charset val="1"/>
          </rPr>
          <t xml:space="preserve">+US$43,000mm</t>
        </r>
        <r>
          <rPr>
            <sz val="10"/>
            <rFont val="DejaVu Sans"/>
            <family val="2"/>
          </rPr>
          <t xml:space="preserve">。資料基準 </t>
        </r>
        <r>
          <rPr>
            <sz val="10"/>
            <rFont val="Arial"/>
            <family val="2"/>
            <charset val="1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B14" authorId="0">
      <text>
        <r>
          <rPr>
            <sz val="10"/>
            <rFont val="DejaVu Sans"/>
            <family val="2"/>
          </rPr>
          <t xml:space="preserve">示範性參考。目前股價 </t>
        </r>
        <r>
          <rPr>
            <sz val="10"/>
            <rFont val="Arial"/>
            <family val="2"/>
            <charset val="1"/>
          </rPr>
          <t xml:space="preserve">US$220.66</t>
        </r>
        <r>
          <rPr>
            <sz val="10"/>
            <rFont val="DejaVu Sans"/>
            <family val="2"/>
          </rPr>
          <t xml:space="preserve">。資料基準 </t>
        </r>
        <r>
          <rPr>
            <sz val="10"/>
            <rFont val="Arial"/>
            <family val="2"/>
            <charset val="1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B55" authorId="0">
      <text>
        <r>
          <rPr>
            <sz val="10"/>
            <rFont val="DejaVu Sans"/>
            <family val="2"/>
          </rPr>
          <t xml:space="preserve">敏感度軸假設 — 永續成長率。</t>
        </r>
      </text>
    </comment>
    <comment ref="C18" authorId="0">
      <text>
        <r>
          <rPr>
            <sz val="10"/>
            <rFont val="DejaVu Sans"/>
            <family val="2"/>
          </rPr>
          <t xml:space="preserve">示範性假設。</t>
        </r>
        <r>
          <rPr>
            <sz val="10"/>
            <rFont val="Arial"/>
            <family val="2"/>
            <charset val="1"/>
          </rPr>
          <t xml:space="preserve">FY2027E </t>
        </r>
        <r>
          <rPr>
            <sz val="10"/>
            <rFont val="DejaVu Sans"/>
            <family val="2"/>
          </rPr>
          <t xml:space="preserve">營收成長率。</t>
        </r>
      </text>
    </comment>
    <comment ref="C19" authorId="0">
      <text>
        <r>
          <rPr>
            <sz val="10"/>
            <rFont val="DejaVu Sans"/>
            <family val="2"/>
          </rPr>
          <t xml:space="preserve">示範性假設。</t>
        </r>
        <r>
          <rPr>
            <sz val="10"/>
            <rFont val="Arial"/>
            <family val="2"/>
            <charset val="1"/>
          </rPr>
          <t xml:space="preserve">FY2027E EBIT </t>
        </r>
        <r>
          <rPr>
            <sz val="10"/>
            <rFont val="DejaVu Sans"/>
            <family val="2"/>
          </rPr>
          <t xml:space="preserve">利益率。</t>
        </r>
      </text>
    </comment>
    <comment ref="C32" authorId="0">
      <text>
        <r>
          <rPr>
            <sz val="10"/>
            <rFont val="DejaVu Sans"/>
            <family val="2"/>
          </rPr>
          <t xml:space="preserve">示範性假設。採年底折現慣例，年期 </t>
        </r>
        <r>
          <rPr>
            <sz val="10"/>
            <rFont val="Arial"/>
            <family val="2"/>
            <charset val="1"/>
          </rPr>
          <t xml:space="preserve">1-5</t>
        </r>
        <r>
          <rPr>
            <sz val="10"/>
            <rFont val="DejaVu Sans"/>
            <family val="2"/>
          </rPr>
          <t xml:space="preserve">。</t>
        </r>
      </text>
    </comment>
    <comment ref="C55" authorId="0">
      <text>
        <r>
          <rPr>
            <sz val="10"/>
            <rFont val="DejaVu Sans"/>
            <family val="2"/>
          </rPr>
          <t xml:space="preserve">敏感度軸假設 — 永續成長率。</t>
        </r>
      </text>
    </comment>
    <comment ref="D18" authorId="0">
      <text>
        <r>
          <rPr>
            <sz val="10"/>
            <rFont val="DejaVu Sans"/>
            <family val="2"/>
          </rPr>
          <t xml:space="preserve">示範性假設。</t>
        </r>
        <r>
          <rPr>
            <sz val="10"/>
            <rFont val="Arial"/>
            <family val="2"/>
            <charset val="1"/>
          </rPr>
          <t xml:space="preserve">FY2028E </t>
        </r>
        <r>
          <rPr>
            <sz val="10"/>
            <rFont val="DejaVu Sans"/>
            <family val="2"/>
          </rPr>
          <t xml:space="preserve">營收成長率。</t>
        </r>
      </text>
    </comment>
    <comment ref="D19" authorId="0">
      <text>
        <r>
          <rPr>
            <sz val="10"/>
            <rFont val="DejaVu Sans"/>
            <family val="2"/>
          </rPr>
          <t xml:space="preserve">示範性假設。</t>
        </r>
        <r>
          <rPr>
            <sz val="10"/>
            <rFont val="Arial"/>
            <family val="2"/>
            <charset val="1"/>
          </rPr>
          <t xml:space="preserve">FY2028E EBIT </t>
        </r>
        <r>
          <rPr>
            <sz val="10"/>
            <rFont val="DejaVu Sans"/>
            <family val="2"/>
          </rPr>
          <t xml:space="preserve">利益率。</t>
        </r>
      </text>
    </comment>
    <comment ref="D32" authorId="0">
      <text>
        <r>
          <rPr>
            <sz val="10"/>
            <rFont val="DejaVu Sans"/>
            <family val="2"/>
          </rPr>
          <t xml:space="preserve">示範性假設。採年底折現慣例，年期 </t>
        </r>
        <r>
          <rPr>
            <sz val="10"/>
            <rFont val="Arial"/>
            <family val="2"/>
            <charset val="1"/>
          </rPr>
          <t xml:space="preserve">1-5</t>
        </r>
        <r>
          <rPr>
            <sz val="10"/>
            <rFont val="DejaVu Sans"/>
            <family val="2"/>
          </rPr>
          <t xml:space="preserve">。</t>
        </r>
      </text>
    </comment>
    <comment ref="D55" authorId="0">
      <text>
        <r>
          <rPr>
            <sz val="10"/>
            <rFont val="DejaVu Sans"/>
            <family val="2"/>
          </rPr>
          <t xml:space="preserve">敏感度軸假設 — 永續成長率。</t>
        </r>
      </text>
    </comment>
    <comment ref="E18" authorId="0">
      <text>
        <r>
          <rPr>
            <sz val="10"/>
            <rFont val="DejaVu Sans"/>
            <family val="2"/>
          </rPr>
          <t xml:space="preserve">示範性假設。</t>
        </r>
        <r>
          <rPr>
            <sz val="10"/>
            <rFont val="Arial"/>
            <family val="2"/>
            <charset val="1"/>
          </rPr>
          <t xml:space="preserve">FY2029E </t>
        </r>
        <r>
          <rPr>
            <sz val="10"/>
            <rFont val="DejaVu Sans"/>
            <family val="2"/>
          </rPr>
          <t xml:space="preserve">營收成長率。</t>
        </r>
      </text>
    </comment>
    <comment ref="E19" authorId="0">
      <text>
        <r>
          <rPr>
            <sz val="10"/>
            <rFont val="DejaVu Sans"/>
            <family val="2"/>
          </rPr>
          <t xml:space="preserve">示範性假設。</t>
        </r>
        <r>
          <rPr>
            <sz val="10"/>
            <rFont val="Arial"/>
            <family val="2"/>
            <charset val="1"/>
          </rPr>
          <t xml:space="preserve">FY2029E EBIT </t>
        </r>
        <r>
          <rPr>
            <sz val="10"/>
            <rFont val="DejaVu Sans"/>
            <family val="2"/>
          </rPr>
          <t xml:space="preserve">利益率。</t>
        </r>
      </text>
    </comment>
    <comment ref="E32" authorId="0">
      <text>
        <r>
          <rPr>
            <sz val="10"/>
            <rFont val="DejaVu Sans"/>
            <family val="2"/>
          </rPr>
          <t xml:space="preserve">示範性假設。採年底折現慣例，年期 </t>
        </r>
        <r>
          <rPr>
            <sz val="10"/>
            <rFont val="Arial"/>
            <family val="2"/>
            <charset val="1"/>
          </rPr>
          <t xml:space="preserve">1-5</t>
        </r>
        <r>
          <rPr>
            <sz val="10"/>
            <rFont val="DejaVu Sans"/>
            <family val="2"/>
          </rPr>
          <t xml:space="preserve">。</t>
        </r>
      </text>
    </comment>
    <comment ref="E55" authorId="0">
      <text>
        <r>
          <rPr>
            <sz val="10"/>
            <rFont val="DejaVu Sans"/>
            <family val="2"/>
          </rPr>
          <t xml:space="preserve">敏感度軸假設 — 永續成長率。</t>
        </r>
      </text>
    </comment>
    <comment ref="F18" authorId="0">
      <text>
        <r>
          <rPr>
            <sz val="10"/>
            <rFont val="DejaVu Sans"/>
            <family val="2"/>
          </rPr>
          <t xml:space="preserve">示範性假設。</t>
        </r>
        <r>
          <rPr>
            <sz val="10"/>
            <rFont val="Arial"/>
            <family val="2"/>
            <charset val="1"/>
          </rPr>
          <t xml:space="preserve">FY2030E </t>
        </r>
        <r>
          <rPr>
            <sz val="10"/>
            <rFont val="DejaVu Sans"/>
            <family val="2"/>
          </rPr>
          <t xml:space="preserve">營收成長率。</t>
        </r>
      </text>
    </comment>
    <comment ref="F19" authorId="0">
      <text>
        <r>
          <rPr>
            <sz val="10"/>
            <rFont val="DejaVu Sans"/>
            <family val="2"/>
          </rPr>
          <t xml:space="preserve">示範性假設。</t>
        </r>
        <r>
          <rPr>
            <sz val="10"/>
            <rFont val="Arial"/>
            <family val="2"/>
            <charset val="1"/>
          </rPr>
          <t xml:space="preserve">FY2030E EBIT </t>
        </r>
        <r>
          <rPr>
            <sz val="10"/>
            <rFont val="DejaVu Sans"/>
            <family val="2"/>
          </rPr>
          <t xml:space="preserve">利益率。</t>
        </r>
      </text>
    </comment>
    <comment ref="F32" authorId="0">
      <text>
        <r>
          <rPr>
            <sz val="10"/>
            <rFont val="DejaVu Sans"/>
            <family val="2"/>
          </rPr>
          <t xml:space="preserve">示範性假設。採年底折現慣例，年期 </t>
        </r>
        <r>
          <rPr>
            <sz val="10"/>
            <rFont val="Arial"/>
            <family val="2"/>
            <charset val="1"/>
          </rPr>
          <t xml:space="preserve">1-5</t>
        </r>
        <r>
          <rPr>
            <sz val="10"/>
            <rFont val="DejaVu Sans"/>
            <family val="2"/>
          </rPr>
          <t xml:space="preserve">。</t>
        </r>
      </text>
    </comment>
    <comment ref="F55" authorId="0">
      <text>
        <r>
          <rPr>
            <sz val="10"/>
            <rFont val="DejaVu Sans"/>
            <family val="2"/>
          </rPr>
          <t xml:space="preserve">敏感度軸假設 — 永續成長率。</t>
        </r>
      </text>
    </comment>
    <comment ref="G18" authorId="0">
      <text>
        <r>
          <rPr>
            <sz val="10"/>
            <rFont val="DejaVu Sans"/>
            <family val="2"/>
          </rPr>
          <t xml:space="preserve">示範性假設。</t>
        </r>
        <r>
          <rPr>
            <sz val="10"/>
            <rFont val="Arial"/>
            <family val="2"/>
            <charset val="1"/>
          </rPr>
          <t xml:space="preserve">FY2031E </t>
        </r>
        <r>
          <rPr>
            <sz val="10"/>
            <rFont val="DejaVu Sans"/>
            <family val="2"/>
          </rPr>
          <t xml:space="preserve">營收成長率。</t>
        </r>
      </text>
    </comment>
    <comment ref="G19" authorId="0">
      <text>
        <r>
          <rPr>
            <sz val="10"/>
            <rFont val="DejaVu Sans"/>
            <family val="2"/>
          </rPr>
          <t xml:space="preserve">示範性假設。</t>
        </r>
        <r>
          <rPr>
            <sz val="10"/>
            <rFont val="Arial"/>
            <family val="2"/>
            <charset val="1"/>
          </rPr>
          <t xml:space="preserve">FY2031E EBIT </t>
        </r>
        <r>
          <rPr>
            <sz val="10"/>
            <rFont val="DejaVu Sans"/>
            <family val="2"/>
          </rPr>
          <t xml:space="preserve">利益率。</t>
        </r>
      </text>
    </comment>
    <comment ref="G32" authorId="0">
      <text>
        <r>
          <rPr>
            <sz val="10"/>
            <rFont val="DejaVu Sans"/>
            <family val="2"/>
          </rPr>
          <t xml:space="preserve">示範性假設。採年底折現慣例，年期 </t>
        </r>
        <r>
          <rPr>
            <sz val="10"/>
            <rFont val="Arial"/>
            <family val="2"/>
            <charset val="1"/>
          </rPr>
          <t xml:space="preserve">1-5</t>
        </r>
        <r>
          <rPr>
            <sz val="10"/>
            <rFont val="DejaVu Sans"/>
            <family val="2"/>
          </rPr>
          <t xml:space="preserve">。</t>
        </r>
      </text>
    </comment>
  </commentList>
</comments>
</file>

<file path=xl/sharedStrings.xml><?xml version="1.0" encoding="utf-8"?>
<sst xmlns="http://schemas.openxmlformats.org/spreadsheetml/2006/main" count="69" uniqueCount="64">
  <si>
    <r>
      <rPr>
        <b val="true"/>
        <sz val="13"/>
        <color rgb="FFFFFFFF"/>
        <rFont val="Arial"/>
        <family val="0"/>
        <charset val="1"/>
      </rPr>
      <t xml:space="preserve">NVIDIA Corporation (NVDA) — DCF </t>
    </r>
    <r>
      <rPr>
        <b val="true"/>
        <sz val="13"/>
        <color rgb="FFFFFFFF"/>
        <rFont val="DejaVu Sans"/>
        <family val="2"/>
      </rPr>
      <t xml:space="preserve">折現現金流估值模型</t>
    </r>
  </si>
  <si>
    <r>
      <rPr>
        <sz val="9"/>
        <color rgb="FFFFFFFF"/>
        <rFont val="DejaVu Sans"/>
        <family val="2"/>
      </rPr>
      <t xml:space="preserve">代碼：</t>
    </r>
    <r>
      <rPr>
        <sz val="9"/>
        <color rgb="FFFFFFFF"/>
        <rFont val="Arial"/>
        <family val="0"/>
        <charset val="1"/>
      </rPr>
      <t xml:space="preserve">NVDA  |  </t>
    </r>
    <r>
      <rPr>
        <sz val="9"/>
        <color rgb="FFFFFFFF"/>
        <rFont val="DejaVu Sans"/>
        <family val="2"/>
      </rPr>
      <t xml:space="preserve">估值基準日：</t>
    </r>
    <r>
      <rPr>
        <sz val="9"/>
        <color rgb="FFFFFFFF"/>
        <rFont val="Arial"/>
        <family val="0"/>
        <charset val="1"/>
      </rPr>
      <t xml:space="preserve">2026-05  |  </t>
    </r>
    <r>
      <rPr>
        <sz val="9"/>
        <color rgb="FFFFFFFF"/>
        <rFont val="DejaVu Sans"/>
        <family val="2"/>
      </rPr>
      <t xml:space="preserve">幣別：</t>
    </r>
    <r>
      <rPr>
        <sz val="9"/>
        <color rgb="FFFFFFFF"/>
        <rFont val="Arial"/>
        <family val="0"/>
        <charset val="1"/>
      </rPr>
      <t xml:space="preserve">US$ </t>
    </r>
    <r>
      <rPr>
        <sz val="9"/>
        <color rgb="FFFFFFFF"/>
        <rFont val="DejaVu Sans"/>
        <family val="2"/>
      </rPr>
      <t xml:space="preserve">百萬元 </t>
    </r>
    <r>
      <rPr>
        <sz val="9"/>
        <color rgb="FFFFFFFF"/>
        <rFont val="Arial"/>
        <family val="0"/>
        <charset val="1"/>
      </rPr>
      <t xml:space="preserve">(US$mm)  |  </t>
    </r>
    <r>
      <rPr>
        <sz val="9"/>
        <color rgb="FFFFFFFF"/>
        <rFont val="DejaVu Sans"/>
        <family val="2"/>
      </rPr>
      <t xml:space="preserve">所有假設為示範性質</t>
    </r>
  </si>
  <si>
    <r>
      <rPr>
        <b val="true"/>
        <sz val="10"/>
        <color rgb="FFFFFFFF"/>
        <rFont val="DejaVu Sans"/>
        <family val="2"/>
      </rPr>
      <t xml:space="preserve">一、估值假設 </t>
    </r>
    <r>
      <rPr>
        <b val="true"/>
        <sz val="10"/>
        <color rgb="FFFFFFFF"/>
        <rFont val="Arial"/>
        <family val="0"/>
        <charset val="1"/>
      </rPr>
      <t xml:space="preserve">(Assumptions — </t>
    </r>
    <r>
      <rPr>
        <b val="true"/>
        <sz val="10"/>
        <color rgb="FFFFFFFF"/>
        <rFont val="DejaVu Sans"/>
        <family val="2"/>
      </rPr>
      <t xml:space="preserve">全部為示範性質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</si>
  <si>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基準年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DejaVu Sans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實際</t>
    </r>
    <r>
      <rPr>
        <sz val="10"/>
        <color rgb="FF000000"/>
        <rFont val="Arial"/>
        <family val="0"/>
        <charset val="1"/>
      </rPr>
      <t xml:space="preserve">, US$mm)</t>
    </r>
  </si>
  <si>
    <r>
      <rPr>
        <sz val="10"/>
        <color rgb="FF000000"/>
        <rFont val="DejaVu Sans"/>
        <family val="2"/>
      </rPr>
      <t xml:space="preserve">稅率 </t>
    </r>
    <r>
      <rPr>
        <sz val="10"/>
        <color rgb="FF000000"/>
        <rFont val="Arial"/>
        <family val="0"/>
        <charset val="1"/>
      </rPr>
      <t xml:space="preserve">(Tax Rate)</t>
    </r>
  </si>
  <si>
    <r>
      <rPr>
        <sz val="10"/>
        <color rgb="FF000000"/>
        <rFont val="DejaVu Sans"/>
        <family val="2"/>
      </rPr>
      <t xml:space="preserve">折舊攤銷 </t>
    </r>
    <r>
      <rPr>
        <sz val="10"/>
        <color rgb="FF000000"/>
        <rFont val="Arial"/>
        <family val="0"/>
        <charset val="1"/>
      </rPr>
      <t xml:space="preserve">D&amp;A (</t>
    </r>
    <r>
      <rPr>
        <sz val="10"/>
        <color rgb="FF000000"/>
        <rFont val="DejaVu Sans"/>
        <family val="2"/>
      </rPr>
      <t xml:space="preserve">佔營收 </t>
    </r>
    <r>
      <rPr>
        <sz val="10"/>
        <color rgb="FF000000"/>
        <rFont val="Arial"/>
        <family val="0"/>
        <charset val="1"/>
      </rPr>
      <t xml:space="preserve">%)</t>
    </r>
  </si>
  <si>
    <r>
      <rPr>
        <sz val="10"/>
        <color rgb="FF000000"/>
        <rFont val="DejaVu Sans"/>
        <family val="2"/>
      </rPr>
      <t xml:space="preserve">資本支出 </t>
    </r>
    <r>
      <rPr>
        <sz val="10"/>
        <color rgb="FF000000"/>
        <rFont val="Arial"/>
        <family val="0"/>
        <charset val="1"/>
      </rPr>
      <t xml:space="preserve">Capex (</t>
    </r>
    <r>
      <rPr>
        <sz val="10"/>
        <color rgb="FF000000"/>
        <rFont val="DejaVu Sans"/>
        <family val="2"/>
      </rPr>
      <t xml:space="preserve">佔營收 </t>
    </r>
    <r>
      <rPr>
        <sz val="10"/>
        <color rgb="FF000000"/>
        <rFont val="Arial"/>
        <family val="0"/>
        <charset val="1"/>
      </rPr>
      <t xml:space="preserve">%)</t>
    </r>
  </si>
  <si>
    <r>
      <rPr>
        <sz val="10"/>
        <color rgb="FF000000"/>
        <rFont val="DejaVu Sans"/>
        <family val="2"/>
      </rPr>
      <t xml:space="preserve">淨營運資金變動 </t>
    </r>
    <r>
      <rPr>
        <sz val="10"/>
        <color rgb="FF000000"/>
        <rFont val="Arial"/>
        <family val="0"/>
        <charset val="1"/>
      </rPr>
      <t xml:space="preserve">ΔNWC (</t>
    </r>
    <r>
      <rPr>
        <sz val="10"/>
        <color rgb="FF000000"/>
        <rFont val="DejaVu Sans"/>
        <family val="2"/>
      </rPr>
      <t xml:space="preserve">佔營收年增額 </t>
    </r>
    <r>
      <rPr>
        <sz val="10"/>
        <color rgb="FF000000"/>
        <rFont val="Arial"/>
        <family val="0"/>
        <charset val="1"/>
      </rPr>
      <t xml:space="preserve">%)</t>
    </r>
  </si>
  <si>
    <r>
      <rPr>
        <sz val="10"/>
        <color rgb="FF000000"/>
        <rFont val="DejaVu Sans"/>
        <family val="2"/>
      </rPr>
      <t xml:space="preserve">加權平均資金成本 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</si>
  <si>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DejaVu Sans"/>
        <family val="2"/>
      </rPr>
      <t xml:space="preserve">永續成長率 </t>
    </r>
    <r>
      <rPr>
        <sz val="10"/>
        <color rgb="FF000000"/>
        <rFont val="Arial"/>
        <family val="0"/>
        <charset val="1"/>
      </rPr>
      <t xml:space="preserve">(Terminal Growth g)</t>
    </r>
  </si>
  <si>
    <r>
      <rPr>
        <sz val="10"/>
        <color rgb="FF000000"/>
        <rFont val="DejaVu Sans"/>
        <family val="2"/>
      </rPr>
      <t xml:space="preserve">在外流通股數 </t>
    </r>
    <r>
      <rPr>
        <sz val="10"/>
        <color rgb="FF000000"/>
        <rFont val="Arial"/>
        <family val="0"/>
        <charset val="1"/>
      </rPr>
      <t xml:space="preserve">(mm)</t>
    </r>
  </si>
  <si>
    <r>
      <rPr>
        <sz val="10"/>
        <color rgb="FF000000"/>
        <rFont val="DejaVu Sans"/>
        <family val="2"/>
      </rPr>
      <t xml:space="preserve">淨現金 </t>
    </r>
    <r>
      <rPr>
        <sz val="10"/>
        <color rgb="FF000000"/>
        <rFont val="Arial"/>
        <family val="0"/>
        <charset val="1"/>
      </rPr>
      <t xml:space="preserve">Net Cash (US$mm)</t>
    </r>
  </si>
  <si>
    <r>
      <rPr>
        <sz val="10"/>
        <color rgb="FF000000"/>
        <rFont val="DejaVu Sans"/>
        <family val="2"/>
      </rPr>
      <t xml:space="preserve">目前股價參考 </t>
    </r>
    <r>
      <rPr>
        <sz val="10"/>
        <color rgb="FF000000"/>
        <rFont val="Arial"/>
        <family val="0"/>
        <charset val="1"/>
      </rPr>
      <t xml:space="preserve">(US$/</t>
    </r>
    <r>
      <rPr>
        <sz val="10"/>
        <color rgb="FF000000"/>
        <rFont val="DejaVu Sans"/>
        <family val="2"/>
      </rPr>
      <t xml:space="preserve">股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</si>
  <si>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二、預測期假設 </t>
    </r>
    <r>
      <rPr>
        <b val="true"/>
        <sz val="10"/>
        <color rgb="FFFFFFFF"/>
        <rFont val="Arial"/>
        <family val="0"/>
        <charset val="1"/>
      </rPr>
      <t xml:space="preserve">(FY2027–FY2031)</t>
    </r>
  </si>
  <si>
    <t xml:space="preserve">項目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</si>
  <si>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</si>
  <si>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</si>
  <si>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</si>
  <si>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</si>
  <si>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</si>
  <si>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r>
      <rPr>
        <sz val="10"/>
        <color rgb="FF000000"/>
        <rFont val="DejaVu Sans"/>
        <family val="2"/>
      </rPr>
      <t xml:space="preserve">營收成長率 </t>
    </r>
    <r>
      <rPr>
        <sz val="10"/>
        <color rgb="FF000000"/>
        <rFont val="Arial"/>
        <family val="0"/>
        <charset val="1"/>
      </rPr>
      <t xml:space="preserve">(Revenue Growth %)</t>
    </r>
  </si>
  <si>
    <r>
      <rPr>
        <sz val="10"/>
        <color rgb="FF000000"/>
        <rFont val="DejaVu Sans"/>
        <family val="2"/>
      </rPr>
      <t xml:space="preserve">營業利益率 </t>
    </r>
    <r>
      <rPr>
        <sz val="10"/>
        <color rgb="FF000000"/>
        <rFont val="Arial"/>
        <family val="0"/>
        <charset val="1"/>
      </rPr>
      <t xml:space="preserve">(EBIT Margin %)</t>
    </r>
  </si>
  <si>
    <r>
      <rPr>
        <b val="true"/>
        <sz val="10"/>
        <color rgb="FFFFFFFF"/>
        <rFont val="DejaVu Sans"/>
        <family val="2"/>
      </rPr>
      <t xml:space="preserve">三、未槓桿自由現金流預測 </t>
    </r>
    <r>
      <rPr>
        <b val="true"/>
        <sz val="10"/>
        <color rgb="FFFFFFFF"/>
        <rFont val="Arial"/>
        <family val="0"/>
        <charset val="1"/>
      </rPr>
      <t xml:space="preserve">(Unlevered Free Cash Flow)</t>
    </r>
  </si>
  <si>
    <r>
      <rPr>
        <b val="true"/>
        <sz val="10"/>
        <color rgb="FF000000"/>
        <rFont val="DejaVu Sans"/>
        <family val="2"/>
      </rPr>
      <t xml:space="preserve">現金流項目 </t>
    </r>
    <r>
      <rPr>
        <b val="true"/>
        <sz val="10"/>
        <color rgb="FF000000"/>
        <rFont val="Arial"/>
        <family val="0"/>
        <charset val="1"/>
      </rPr>
      <t xml:space="preserve">(US$mm)</t>
    </r>
  </si>
  <si>
    <t xml:space="preserve">FY2026A</t>
  </si>
  <si>
    <r>
      <rPr>
        <sz val="10"/>
        <color rgb="FF000000"/>
        <rFont val="DejaVu Sans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Revenue</t>
    </r>
  </si>
  <si>
    <r>
      <rPr>
        <sz val="9"/>
        <color rgb="FF404040"/>
        <rFont val="DejaVu Sans"/>
        <family val="2"/>
      </rPr>
      <t xml:space="preserve">  營收成長率 </t>
    </r>
    <r>
      <rPr>
        <sz val="9"/>
        <color rgb="FF404040"/>
        <rFont val="Arial"/>
        <family val="0"/>
        <charset val="1"/>
      </rPr>
      <t xml:space="preserve">% (</t>
    </r>
    <r>
      <rPr>
        <sz val="9"/>
        <color rgb="FF404040"/>
        <rFont val="DejaVu Sans"/>
        <family val="2"/>
      </rPr>
      <t xml:space="preserve">檢核</t>
    </r>
    <r>
      <rPr>
        <sz val="9"/>
        <color rgb="FF40404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</si>
  <si>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營業利益 </t>
    </r>
    <r>
      <rPr>
        <sz val="10"/>
        <color rgb="FF000000"/>
        <rFont val="Arial"/>
        <family val="0"/>
        <charset val="1"/>
      </rPr>
      <t xml:space="preserve">EBIT</t>
    </r>
  </si>
  <si>
    <r>
      <rPr>
        <sz val="9"/>
        <color rgb="FF404040"/>
        <rFont val="Arial"/>
        <family val="0"/>
        <charset val="1"/>
      </rPr>
      <t xml:space="preserve">  EBIT </t>
    </r>
    <r>
      <rPr>
        <sz val="9"/>
        <color rgb="FF404040"/>
        <rFont val="DejaVu Sans"/>
        <family val="2"/>
      </rPr>
      <t xml:space="preserve">利益率 </t>
    </r>
    <r>
      <rPr>
        <sz val="9"/>
        <color rgb="FF404040"/>
        <rFont val="Arial"/>
        <family val="0"/>
        <charset val="1"/>
      </rPr>
      <t xml:space="preserve">% (</t>
    </r>
    <r>
      <rPr>
        <sz val="9"/>
        <color rgb="FF404040"/>
        <rFont val="DejaVu Sans"/>
        <family val="2"/>
      </rPr>
      <t xml:space="preserve">檢核</t>
    </r>
    <r>
      <rPr>
        <sz val="9"/>
        <color rgb="FF40404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</si>
  <si>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稅後營業利益 </t>
    </r>
    <r>
      <rPr>
        <sz val="10"/>
        <color rgb="FF000000"/>
        <rFont val="Arial"/>
        <family val="0"/>
        <charset val="1"/>
      </rPr>
      <t xml:space="preserve">NOPAT</t>
    </r>
  </si>
  <si>
    <r>
      <rPr>
        <sz val="10"/>
        <color rgb="FF000000"/>
        <rFont val="Arial"/>
        <family val="0"/>
        <charset val="1"/>
      </rPr>
      <t xml:space="preserve">(+) </t>
    </r>
    <r>
      <rPr>
        <sz val="10"/>
        <color rgb="FF000000"/>
        <rFont val="DejaVu Sans"/>
        <family val="2"/>
      </rPr>
      <t xml:space="preserve">折舊攤銷 </t>
    </r>
    <r>
      <rPr>
        <sz val="10"/>
        <color rgb="FF000000"/>
        <rFont val="Arial"/>
        <family val="0"/>
        <charset val="1"/>
      </rPr>
      <t xml:space="preserve">D&amp;A</t>
    </r>
  </si>
  <si>
    <r>
      <rPr>
        <sz val="10"/>
        <color rgb="FF000000"/>
        <rFont val="Arial"/>
        <family val="0"/>
        <charset val="1"/>
      </rPr>
      <t xml:space="preserve">(-) </t>
    </r>
    <r>
      <rPr>
        <sz val="10"/>
        <color rgb="FF000000"/>
        <rFont val="DejaVu Sans"/>
        <family val="2"/>
      </rPr>
      <t xml:space="preserve">資本支出 </t>
    </r>
    <r>
      <rPr>
        <sz val="10"/>
        <color rgb="FF000000"/>
        <rFont val="Arial"/>
        <family val="0"/>
        <charset val="1"/>
      </rPr>
      <t xml:space="preserve">Capex</t>
    </r>
  </si>
  <si>
    <r>
      <rPr>
        <sz val="10"/>
        <color rgb="FF000000"/>
        <rFont val="Arial"/>
        <family val="0"/>
        <charset val="1"/>
      </rPr>
      <t xml:space="preserve">(-) </t>
    </r>
    <r>
      <rPr>
        <sz val="10"/>
        <color rgb="FF000000"/>
        <rFont val="DejaVu Sans"/>
        <family val="2"/>
      </rPr>
      <t xml:space="preserve">淨營運資金變動 </t>
    </r>
    <r>
      <rPr>
        <sz val="10"/>
        <color rgb="FF000000"/>
        <rFont val="Arial"/>
        <family val="0"/>
        <charset val="1"/>
      </rPr>
      <t xml:space="preserve">ΔNWC</t>
    </r>
  </si>
  <si>
    <r>
      <rPr>
        <b val="true"/>
        <sz val="10"/>
        <color rgb="FF000000"/>
        <rFont val="DejaVu Sans"/>
        <family val="2"/>
      </rPr>
      <t xml:space="preserve">未槓桿自由現金流 </t>
    </r>
    <r>
      <rPr>
        <b val="true"/>
        <sz val="10"/>
        <color rgb="FF000000"/>
        <rFont val="Arial"/>
        <family val="0"/>
        <charset val="1"/>
      </rPr>
      <t xml:space="preserve">UFCF</t>
    </r>
  </si>
  <si>
    <r>
      <rPr>
        <sz val="10"/>
        <color rgb="FF000000"/>
        <rFont val="DejaVu Sans"/>
        <family val="2"/>
      </rPr>
      <t xml:space="preserve">折現年期 </t>
    </r>
    <r>
      <rPr>
        <sz val="10"/>
        <color rgb="FF000000"/>
        <rFont val="Arial"/>
        <family val="0"/>
        <charset val="1"/>
      </rPr>
      <t xml:space="preserve">(Period)</t>
    </r>
  </si>
  <si>
    <r>
      <rPr>
        <sz val="10"/>
        <color rgb="FF000000"/>
        <rFont val="DejaVu Sans"/>
        <family val="2"/>
      </rPr>
      <t xml:space="preserve">折現因子 </t>
    </r>
    <r>
      <rPr>
        <sz val="10"/>
        <color rgb="FF000000"/>
        <rFont val="Arial"/>
        <family val="0"/>
        <charset val="1"/>
      </rPr>
      <t xml:space="preserve">(Discount Factor)</t>
    </r>
  </si>
  <si>
    <r>
      <rPr>
        <b val="true"/>
        <sz val="10"/>
        <color rgb="FF000000"/>
        <rFont val="Arial"/>
        <family val="0"/>
        <charset val="1"/>
      </rPr>
      <t xml:space="preserve">UFCF </t>
    </r>
    <r>
      <rPr>
        <b val="true"/>
        <sz val="10"/>
        <color rgb="FF000000"/>
        <rFont val="DejaVu Sans"/>
        <family val="2"/>
      </rPr>
      <t xml:space="preserve">現值 </t>
    </r>
    <r>
      <rPr>
        <b val="true"/>
        <sz val="10"/>
        <color rgb="FF000000"/>
        <rFont val="Arial"/>
        <family val="0"/>
        <charset val="1"/>
      </rPr>
      <t xml:space="preserve">(PV of UFCF)</t>
    </r>
  </si>
  <si>
    <r>
      <rPr>
        <b val="true"/>
        <sz val="10"/>
        <color rgb="FFFFFFFF"/>
        <rFont val="DejaVu Sans"/>
        <family val="2"/>
      </rPr>
      <t xml:space="preserve">四、永續價值 </t>
    </r>
    <r>
      <rPr>
        <b val="true"/>
        <sz val="10"/>
        <color rgb="FFFFFFFF"/>
        <rFont val="Arial"/>
        <family val="0"/>
        <charset val="1"/>
      </rPr>
      <t xml:space="preserve">(Terminal Value — </t>
    </r>
    <r>
      <rPr>
        <b val="true"/>
        <sz val="10"/>
        <color rgb="FFFFFFFF"/>
        <rFont val="DejaVu Sans"/>
        <family val="2"/>
      </rPr>
      <t xml:space="preserve">永續成長法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</si>
  <si>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FY2031 UFCF</t>
  </si>
  <si>
    <r>
      <rPr>
        <sz val="10"/>
        <color rgb="FF000000"/>
        <rFont val="DejaVu Sans"/>
        <family val="2"/>
      </rPr>
      <t xml:space="preserve">終值現金流 </t>
    </r>
    <r>
      <rPr>
        <sz val="10"/>
        <color rgb="FF000000"/>
        <rFont val="Arial"/>
        <family val="0"/>
        <charset val="1"/>
      </rPr>
      <t xml:space="preserve">Terminal FCF = UFCF×(1+g)</t>
    </r>
  </si>
  <si>
    <r>
      <rPr>
        <sz val="10"/>
        <color rgb="FF000000"/>
        <rFont val="DejaVu Sans"/>
        <family val="2"/>
      </rPr>
      <t xml:space="preserve">永續價值 </t>
    </r>
    <r>
      <rPr>
        <sz val="10"/>
        <color rgb="FF000000"/>
        <rFont val="Arial"/>
        <family val="0"/>
        <charset val="1"/>
      </rPr>
      <t xml:space="preserve">TV = Terminal FCF/(WACC−g)</t>
    </r>
  </si>
  <si>
    <r>
      <rPr>
        <sz val="10"/>
        <color rgb="FF000000"/>
        <rFont val="DejaVu Sans"/>
        <family val="2"/>
      </rPr>
      <t xml:space="preserve">永續價值現值 </t>
    </r>
    <r>
      <rPr>
        <sz val="10"/>
        <color rgb="FF000000"/>
        <rFont val="Arial"/>
        <family val="0"/>
        <charset val="1"/>
      </rPr>
      <t xml:space="preserve">PV of TV = TV×</t>
    </r>
    <r>
      <rPr>
        <sz val="10"/>
        <color rgb="FF000000"/>
        <rFont val="DejaVu Sans"/>
        <family val="2"/>
      </rPr>
      <t xml:space="preserve">折現因子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5)</t>
    </r>
  </si>
  <si>
    <r>
      <rPr>
        <sz val="10"/>
        <color rgb="FF000000"/>
        <rFont val="Arial"/>
        <family val="0"/>
        <charset val="1"/>
      </rPr>
      <t xml:space="preserve">TV </t>
    </r>
    <r>
      <rPr>
        <sz val="10"/>
        <color rgb="FF000000"/>
        <rFont val="DejaVu Sans"/>
        <family val="2"/>
      </rPr>
      <t xml:space="preserve">現值佔企業價值比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檢核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</si>
  <si>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五、估值橋接 </t>
    </r>
    <r>
      <rPr>
        <b val="true"/>
        <sz val="10"/>
        <color rgb="FFFFFFFF"/>
        <rFont val="Arial"/>
        <family val="0"/>
        <charset val="1"/>
      </rPr>
      <t xml:space="preserve">(Enterprise Value → </t>
    </r>
    <r>
      <rPr>
        <b val="true"/>
        <sz val="10"/>
        <color rgb="FFFFFFFF"/>
        <rFont val="DejaVu Sans"/>
        <family val="2"/>
      </rPr>
      <t xml:space="preserve">每股內在價值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</si>
  <si>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預測期 </t>
    </r>
    <r>
      <rPr>
        <sz val="10"/>
        <color rgb="FF000000"/>
        <rFont val="Arial"/>
        <family val="0"/>
        <charset val="1"/>
      </rPr>
      <t xml:space="preserve">UFCF </t>
    </r>
    <r>
      <rPr>
        <sz val="10"/>
        <color rgb="FF000000"/>
        <rFont val="DejaVu Sans"/>
        <family val="2"/>
      </rPr>
      <t xml:space="preserve">現值合計 </t>
    </r>
    <r>
      <rPr>
        <sz val="10"/>
        <color rgb="FF000000"/>
        <rFont val="Arial"/>
        <family val="0"/>
        <charset val="1"/>
      </rPr>
      <t xml:space="preserve">(Sum PV of UFCF)</t>
    </r>
  </si>
  <si>
    <r>
      <rPr>
        <sz val="10"/>
        <color rgb="FF000000"/>
        <rFont val="Arial"/>
        <family val="0"/>
        <charset val="1"/>
      </rPr>
      <t xml:space="preserve">(+) </t>
    </r>
    <r>
      <rPr>
        <sz val="10"/>
        <color rgb="FF000000"/>
        <rFont val="DejaVu Sans"/>
        <family val="2"/>
      </rPr>
      <t xml:space="preserve">永續價值現值 </t>
    </r>
    <r>
      <rPr>
        <sz val="10"/>
        <color rgb="FF000000"/>
        <rFont val="Arial"/>
        <family val="0"/>
        <charset val="1"/>
      </rPr>
      <t xml:space="preserve">(PV of Terminal Value)</t>
    </r>
  </si>
  <si>
    <r>
      <rPr>
        <b val="true"/>
        <sz val="10"/>
        <color rgb="FF000000"/>
        <rFont val="DejaVu Sans"/>
        <family val="2"/>
      </rPr>
      <t xml:space="preserve">企業價值 </t>
    </r>
    <r>
      <rPr>
        <b val="true"/>
        <sz val="10"/>
        <color rgb="FF000000"/>
        <rFont val="Arial"/>
        <family val="0"/>
        <charset val="1"/>
      </rPr>
      <t xml:space="preserve">EV (Enterprise Value)</t>
    </r>
  </si>
  <si>
    <r>
      <rPr>
        <sz val="10"/>
        <color rgb="FF000000"/>
        <rFont val="Arial"/>
        <family val="0"/>
        <charset val="1"/>
      </rPr>
      <t xml:space="preserve">(+) </t>
    </r>
    <r>
      <rPr>
        <sz val="10"/>
        <color rgb="FF000000"/>
        <rFont val="DejaVu Sans"/>
        <family val="2"/>
      </rPr>
      <t xml:space="preserve">淨現金 </t>
    </r>
    <r>
      <rPr>
        <sz val="10"/>
        <color rgb="FF000000"/>
        <rFont val="Arial"/>
        <family val="0"/>
        <charset val="1"/>
      </rPr>
      <t xml:space="preserve">(Net Cash)</t>
    </r>
  </si>
  <si>
    <r>
      <rPr>
        <b val="true"/>
        <sz val="10"/>
        <color rgb="FF000000"/>
        <rFont val="DejaVu Sans"/>
        <family val="2"/>
      </rPr>
      <t xml:space="preserve">股權價值 </t>
    </r>
    <r>
      <rPr>
        <b val="true"/>
        <sz val="10"/>
        <color rgb="FF000000"/>
        <rFont val="Arial"/>
        <family val="0"/>
        <charset val="1"/>
      </rPr>
      <t xml:space="preserve">Equity Value</t>
    </r>
  </si>
  <si>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DejaVu Sans"/>
        <family val="2"/>
      </rPr>
      <t xml:space="preserve">在外流通股數 </t>
    </r>
    <r>
      <rPr>
        <sz val="10"/>
        <color rgb="FF000000"/>
        <rFont val="Arial"/>
        <family val="0"/>
        <charset val="1"/>
      </rPr>
      <t xml:space="preserve">(mm)</t>
    </r>
  </si>
  <si>
    <r>
      <rPr>
        <b val="true"/>
        <sz val="10"/>
        <color rgb="FF000000"/>
        <rFont val="DejaVu Sans"/>
        <family val="2"/>
      </rPr>
      <t xml:space="preserve">每股內在價值 </t>
    </r>
    <r>
      <rPr>
        <b val="true"/>
        <sz val="10"/>
        <color rgb="FF000000"/>
        <rFont val="Arial"/>
        <family val="0"/>
        <charset val="1"/>
      </rPr>
      <t xml:space="preserve">(Intrinsic Value per Share)</t>
    </r>
  </si>
  <si>
    <r>
      <rPr>
        <sz val="10"/>
        <color rgb="FF000000"/>
        <rFont val="DejaVu Sans"/>
        <family val="2"/>
      </rPr>
      <t xml:space="preserve">目前股價參考 </t>
    </r>
    <r>
      <rPr>
        <sz val="10"/>
        <color rgb="FF000000"/>
        <rFont val="Arial"/>
        <family val="0"/>
        <charset val="1"/>
      </rPr>
      <t xml:space="preserve">(Current Price)</t>
    </r>
  </si>
  <si>
    <r>
      <rPr>
        <b val="true"/>
        <sz val="10"/>
        <color rgb="FF000000"/>
        <rFont val="DejaVu Sans"/>
        <family val="2"/>
      </rPr>
      <t xml:space="preserve">上行</t>
    </r>
    <r>
      <rPr>
        <b val="true"/>
        <sz val="10"/>
        <color rgb="FF000000"/>
        <rFont val="Arial"/>
        <family val="0"/>
        <charset val="1"/>
      </rPr>
      <t xml:space="preserve">/(</t>
    </r>
    <r>
      <rPr>
        <b val="true"/>
        <sz val="10"/>
        <color rgb="FF000000"/>
        <rFont val="DejaVu Sans"/>
        <family val="2"/>
      </rPr>
      <t xml:space="preserve">下行</t>
    </r>
    <r>
      <rPr>
        <b val="true"/>
        <sz val="10"/>
        <color rgb="FF000000"/>
        <rFont val="Arial"/>
        <family val="0"/>
        <charset val="1"/>
      </rPr>
      <t xml:space="preserve">) </t>
    </r>
    <r>
      <rPr>
        <b val="true"/>
        <sz val="10"/>
        <color rgb="FF000000"/>
        <rFont val="DejaVu Sans"/>
        <family val="2"/>
      </rPr>
      <t xml:space="preserve">空間 </t>
    </r>
    <r>
      <rPr>
        <b val="true"/>
        <sz val="10"/>
        <color rgb="FF000000"/>
        <rFont val="Arial"/>
        <family val="0"/>
        <charset val="1"/>
      </rPr>
      <t xml:space="preserve">% (Upside/(Downside))</t>
    </r>
  </si>
  <si>
    <r>
      <rPr>
        <b val="true"/>
        <sz val="10"/>
        <color rgb="FFFFFFFF"/>
        <rFont val="DejaVu Sans"/>
        <family val="2"/>
      </rPr>
      <t xml:space="preserve">六、敏感度分析 — 每股內在價值：</t>
    </r>
    <r>
      <rPr>
        <b val="true"/>
        <sz val="10"/>
        <color rgb="FFFFFFFF"/>
        <rFont val="Arial"/>
        <family val="0"/>
        <charset val="1"/>
      </rPr>
      <t xml:space="preserve">WACC × </t>
    </r>
    <r>
      <rPr>
        <b val="true"/>
        <sz val="10"/>
        <color rgb="FFFFFFFF"/>
        <rFont val="DejaVu Sans"/>
        <family val="2"/>
      </rPr>
      <t xml:space="preserve">永續成長率 </t>
    </r>
    <r>
      <rPr>
        <b val="true"/>
        <sz val="10"/>
        <color rgb="FFFFFFFF"/>
        <rFont val="Arial"/>
        <family val="0"/>
        <charset val="1"/>
      </rPr>
      <t xml:space="preserve">g</t>
    </r>
  </si>
  <si>
    <r>
      <rPr>
        <b val="true"/>
        <sz val="10"/>
        <color rgb="FF000000"/>
        <rFont val="Arial"/>
        <family val="0"/>
        <charset val="1"/>
      </rPr>
      <t xml:space="preserve">WACC </t>
    </r>
    <r>
      <rPr>
        <b val="true"/>
        <sz val="10"/>
        <color rgb="FF000000"/>
        <rFont val="DejaVu Sans"/>
        <family val="2"/>
      </rPr>
      <t xml:space="preserve">＼ </t>
    </r>
    <r>
      <rPr>
        <b val="true"/>
        <sz val="10"/>
        <color rgb="FF000000"/>
        <rFont val="Arial"/>
        <family val="0"/>
        <charset val="1"/>
      </rPr>
      <t xml:space="preserve">g</t>
    </r>
  </si>
  <si>
    <r>
      <rPr>
        <sz val="9"/>
        <color rgb="FF404040"/>
        <rFont val="DejaVu Sans"/>
        <family val="2"/>
      </rPr>
      <t xml:space="preserve">註：中央深藍格 </t>
    </r>
    <r>
      <rPr>
        <sz val="9"/>
        <color rgb="FF404040"/>
        <rFont val="Arial"/>
        <family val="0"/>
        <charset val="1"/>
      </rPr>
      <t xml:space="preserve">(WACC 12.5% × g 4.0%) = </t>
    </r>
    <r>
      <rPr>
        <sz val="9"/>
        <color rgb="FF404040"/>
        <rFont val="DejaVu Sans"/>
        <family val="2"/>
      </rPr>
      <t xml:space="preserve">基準情境，應等於上方第 </t>
    </r>
    <r>
      <rPr>
        <sz val="9"/>
        <color rgb="FF404040"/>
        <rFont val="Arial"/>
        <family val="0"/>
        <charset val="1"/>
      </rPr>
      <t xml:space="preserve">50 </t>
    </r>
    <r>
      <rPr>
        <sz val="9"/>
        <color rgb="FF404040"/>
        <rFont val="DejaVu Sans"/>
        <family val="2"/>
      </rPr>
      <t xml:space="preserve">列每股內在價值。</t>
    </r>
  </si>
  <si>
    <r>
      <rPr>
        <b val="true"/>
        <sz val="10"/>
        <color rgb="FFFFFFFF"/>
        <rFont val="DejaVu Sans"/>
        <family val="2"/>
      </rPr>
      <t xml:space="preserve">七、附註與免責聲明 </t>
    </r>
    <r>
      <rPr>
        <b val="true"/>
        <sz val="10"/>
        <color rgb="FFFFFFFF"/>
        <rFont val="Arial"/>
        <family val="0"/>
        <charset val="1"/>
      </rPr>
      <t xml:space="preserve">(Notes &amp; Disclaimer)</t>
    </r>
  </si>
  <si>
    <r>
      <rPr>
        <sz val="9"/>
        <color rgb="FF404040"/>
        <rFont val="Arial"/>
        <family val="0"/>
        <charset val="1"/>
      </rPr>
      <t xml:space="preserve">1. </t>
    </r>
    <r>
      <rPr>
        <sz val="9"/>
        <color rgb="FF404040"/>
        <rFont val="DejaVu Sans"/>
        <family val="2"/>
      </rPr>
      <t xml:space="preserve">本模型所有假設 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DejaVu Sans"/>
        <family val="2"/>
      </rPr>
      <t xml:space="preserve">營收成長、</t>
    </r>
    <r>
      <rPr>
        <sz val="9"/>
        <color rgb="FF404040"/>
        <rFont val="Arial"/>
        <family val="0"/>
        <charset val="1"/>
      </rPr>
      <t xml:space="preserve">EBIT </t>
    </r>
    <r>
      <rPr>
        <sz val="9"/>
        <color rgb="FF404040"/>
        <rFont val="DejaVu Sans"/>
        <family val="2"/>
      </rPr>
      <t xml:space="preserve">利益率、</t>
    </r>
    <r>
      <rPr>
        <sz val="9"/>
        <color rgb="FF404040"/>
        <rFont val="Arial"/>
        <family val="0"/>
        <charset val="1"/>
      </rPr>
      <t xml:space="preserve">WACC</t>
    </r>
    <r>
      <rPr>
        <sz val="9"/>
        <color rgb="FF404040"/>
        <rFont val="DejaVu Sans"/>
        <family val="2"/>
      </rPr>
      <t xml:space="preserve">、永續成長率、</t>
    </r>
    <r>
      <rPr>
        <sz val="9"/>
        <color rgb="FF404040"/>
        <rFont val="Arial"/>
        <family val="0"/>
        <charset val="1"/>
      </rPr>
      <t xml:space="preserve">D&amp;A/Capex/ΔNWC </t>
    </r>
    <r>
      <rPr>
        <sz val="9"/>
        <color rgb="FF404040"/>
        <rFont val="DejaVu Sans"/>
        <family val="2"/>
      </rPr>
      <t xml:space="preserve">比率等</t>
    </r>
    <r>
      <rPr>
        <sz val="9"/>
        <color rgb="FF404040"/>
        <rFont val="Arial"/>
        <family val="0"/>
        <charset val="1"/>
      </rPr>
      <t xml:space="preserve">) </t>
    </r>
    <r>
      <rPr>
        <sz val="9"/>
        <color rgb="FF404040"/>
        <rFont val="DejaVu Sans"/>
        <family val="2"/>
      </rPr>
      <t xml:space="preserve">皆為示範性質，僅供方法展示，非市場共識或公司財測。</t>
    </r>
  </si>
  <si>
    <r>
      <rPr>
        <sz val="9"/>
        <color rgb="FF404040"/>
        <rFont val="Arial"/>
        <family val="0"/>
        <charset val="1"/>
      </rPr>
      <t xml:space="preserve">2. NVDA </t>
    </r>
    <r>
      <rPr>
        <sz val="9"/>
        <color rgb="FF404040"/>
        <rFont val="DejaVu Sans"/>
        <family val="2"/>
      </rPr>
      <t xml:space="preserve">屬爆發性成長企業，</t>
    </r>
    <r>
      <rPr>
        <sz val="9"/>
        <color rgb="FF404040"/>
        <rFont val="Arial"/>
        <family val="0"/>
        <charset val="1"/>
      </rPr>
      <t xml:space="preserve">DCF </t>
    </r>
    <r>
      <rPr>
        <sz val="9"/>
        <color rgb="FF404040"/>
        <rFont val="DejaVu Sans"/>
        <family val="2"/>
      </rPr>
      <t xml:space="preserve">輸出對假設極度敏感 — 微幅調整成長率或 </t>
    </r>
    <r>
      <rPr>
        <sz val="9"/>
        <color rgb="FF404040"/>
        <rFont val="Arial"/>
        <family val="0"/>
        <charset val="1"/>
      </rPr>
      <t xml:space="preserve">WACC </t>
    </r>
    <r>
      <rPr>
        <sz val="9"/>
        <color rgb="FF404040"/>
        <rFont val="DejaVu Sans"/>
        <family val="2"/>
      </rPr>
      <t xml:space="preserve">即大幅改變估值，故附敏感度分析表 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DejaVu Sans"/>
        <family val="2"/>
      </rPr>
      <t xml:space="preserve">第六節</t>
    </r>
    <r>
      <rPr>
        <sz val="9"/>
        <color rgb="FF404040"/>
        <rFont val="Arial"/>
        <family val="0"/>
        <charset val="1"/>
      </rPr>
      <t xml:space="preserve">)</t>
    </r>
    <r>
      <rPr>
        <sz val="9"/>
        <color rgb="FF404040"/>
        <rFont val="DejaVu Sans"/>
        <family val="2"/>
      </rPr>
      <t xml:space="preserve">。</t>
    </r>
  </si>
  <si>
    <r>
      <rPr>
        <sz val="9"/>
        <color rgb="FF404040"/>
        <rFont val="Arial"/>
        <family val="0"/>
        <charset val="1"/>
      </rPr>
      <t xml:space="preserve">3. </t>
    </r>
    <r>
      <rPr>
        <sz val="9"/>
        <color rgb="FF404040"/>
        <rFont val="DejaVu Sans"/>
        <family val="2"/>
      </rPr>
      <t xml:space="preserve">估值方法：未槓桿自由現金流 </t>
    </r>
    <r>
      <rPr>
        <sz val="9"/>
        <color rgb="FF404040"/>
        <rFont val="Arial"/>
        <family val="0"/>
        <charset val="1"/>
      </rPr>
      <t xml:space="preserve">(UFCF) </t>
    </r>
    <r>
      <rPr>
        <sz val="9"/>
        <color rgb="FF404040"/>
        <rFont val="DejaVu Sans"/>
        <family val="2"/>
      </rPr>
      <t xml:space="preserve">折現 </t>
    </r>
    <r>
      <rPr>
        <sz val="9"/>
        <color rgb="FF404040"/>
        <rFont val="Arial"/>
        <family val="0"/>
        <charset val="1"/>
      </rPr>
      <t xml:space="preserve">+ </t>
    </r>
    <r>
      <rPr>
        <sz val="9"/>
        <color rgb="FF404040"/>
        <rFont val="DejaVu Sans"/>
        <family val="2"/>
      </rPr>
      <t xml:space="preserve">永續成長法終值；採年底折現慣例。</t>
    </r>
  </si>
  <si>
    <r>
      <rPr>
        <sz val="9"/>
        <color rgb="FF404040"/>
        <rFont val="Arial"/>
        <family val="0"/>
        <charset val="1"/>
      </rPr>
      <t xml:space="preserve">4. </t>
    </r>
    <r>
      <rPr>
        <sz val="9"/>
        <color rgb="FF404040"/>
        <rFont val="DejaVu Sans"/>
        <family val="2"/>
      </rPr>
      <t xml:space="preserve">企業價值 → 加回淨現金 → 股權價值 → 除以在外流通股數 → 每股內在價值。</t>
    </r>
  </si>
  <si>
    <r>
      <rPr>
        <sz val="9"/>
        <color rgb="FF404040"/>
        <rFont val="Arial"/>
        <family val="0"/>
        <charset val="1"/>
      </rPr>
      <t xml:space="preserve">5. </t>
    </r>
    <r>
      <rPr>
        <sz val="9"/>
        <color rgb="FF404040"/>
        <rFont val="DejaVu Sans"/>
        <family val="2"/>
      </rPr>
      <t xml:space="preserve">資料基準：</t>
    </r>
    <r>
      <rPr>
        <sz val="9"/>
        <color rgb="FF404040"/>
        <rFont val="Arial"/>
        <family val="0"/>
        <charset val="1"/>
      </rPr>
      <t xml:space="preserve">2026-05</t>
    </r>
    <r>
      <rPr>
        <sz val="9"/>
        <color rgb="FF404040"/>
        <rFont val="DejaVu Sans"/>
        <family val="2"/>
      </rPr>
      <t xml:space="preserve">。基準年 </t>
    </r>
    <r>
      <rPr>
        <sz val="9"/>
        <color rgb="FF404040"/>
        <rFont val="Arial"/>
        <family val="0"/>
        <charset val="1"/>
      </rPr>
      <t xml:space="preserve">FY2026 </t>
    </r>
    <r>
      <rPr>
        <sz val="9"/>
        <color rgb="FF404040"/>
        <rFont val="DejaVu Sans"/>
        <family val="2"/>
      </rPr>
      <t xml:space="preserve">營收與股價為使用者提供之示範值。</t>
    </r>
  </si>
  <si>
    <r>
      <rPr>
        <sz val="9"/>
        <color rgb="FF404040"/>
        <rFont val="Arial"/>
        <family val="0"/>
        <charset val="1"/>
      </rPr>
      <t xml:space="preserve">6. </t>
    </r>
    <r>
      <rPr>
        <sz val="9"/>
        <color rgb="FF404040"/>
        <rFont val="DejaVu Sans"/>
        <family val="2"/>
      </rPr>
      <t xml:space="preserve">藍色字型 </t>
    </r>
    <r>
      <rPr>
        <sz val="9"/>
        <color rgb="FF404040"/>
        <rFont val="Arial"/>
        <family val="0"/>
        <charset val="1"/>
      </rPr>
      <t xml:space="preserve">= </t>
    </r>
    <r>
      <rPr>
        <sz val="9"/>
        <color rgb="FF404040"/>
        <rFont val="DejaVu Sans"/>
        <family val="2"/>
      </rPr>
      <t xml:space="preserve">輸入假設 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DejaVu Sans"/>
        <family val="2"/>
      </rPr>
      <t xml:space="preserve">可修改</t>
    </r>
    <r>
      <rPr>
        <sz val="9"/>
        <color rgb="FF404040"/>
        <rFont val="Arial"/>
        <family val="0"/>
        <charset val="1"/>
      </rPr>
      <t xml:space="preserve">)</t>
    </r>
    <r>
      <rPr>
        <sz val="9"/>
        <color rgb="FF404040"/>
        <rFont val="DejaVu Sans"/>
        <family val="2"/>
      </rPr>
      <t xml:space="preserve">；黑色字型 </t>
    </r>
    <r>
      <rPr>
        <sz val="9"/>
        <color rgb="FF404040"/>
        <rFont val="Arial"/>
        <family val="0"/>
        <charset val="1"/>
      </rPr>
      <t xml:space="preserve">= </t>
    </r>
    <r>
      <rPr>
        <sz val="9"/>
        <color rgb="FF404040"/>
        <rFont val="DejaVu Sans"/>
        <family val="2"/>
      </rPr>
      <t xml:space="preserve">公式計算值。修改藍色儲存格，全模型將自動重算。</t>
    </r>
  </si>
  <si>
    <r>
      <rPr>
        <sz val="9"/>
        <color rgb="FF404040"/>
        <rFont val="Arial"/>
        <family val="0"/>
        <charset val="1"/>
      </rPr>
      <t xml:space="preserve">7. </t>
    </r>
    <r>
      <rPr>
        <sz val="9"/>
        <color rgb="FF404040"/>
        <rFont val="DejaVu Sans"/>
        <family val="2"/>
      </rPr>
      <t xml:space="preserve">本模型僅供教育與方法展示用途，不構成任何投資建議。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</si>
</sst>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\$#,##0.00"/>
    <numFmt numFmtId="169" formatCode="0"/>
    <numFmt numFmtId="170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DejaVu Sans"/>
      <family val="2"/>
    </font>
    <font>
      <sz val="9"/>
      <color rgb="FFFFFFFF"/>
      <name val="DejaVu Sans"/>
      <family val="2"/>
    </font>
    <font>
      <sz val="9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DejaVu Sans"/>
      <family val="2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DejaVu Sans"/>
      <family val="2"/>
    </font>
    <font>
      <b val="true"/>
      <sz val="10"/>
      <color rgb="FF000000"/>
      <name val="Arial"/>
      <family val="0"/>
      <charset val="1"/>
    </font>
    <font>
      <sz val="9"/>
      <color rgb="FF404040"/>
      <name val="DejaVu Sans"/>
      <family val="2"/>
    </font>
    <font>
      <sz val="9"/>
      <color rgb="FF404040"/>
      <name val="Arial"/>
      <family val="0"/>
      <charset val="1"/>
    </font>
    <font>
      <sz val="11"/>
      <name val="Cambria"/>
      <family val="0"/>
      <charset val="1"/>
    </font>
    <font>
      <sz val="11"/>
      <name val="&lt;openpyxl.styles.fills.PatternF"/>
      <family val="0"/>
      <charset val="1"/>
    </font>
    <font>
      <sz val="10"/>
      <name val="DejaVu Sans"/>
      <family val="2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2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8" min="2" style="1" width="1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2.65" hidden="false" customHeight="fals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5" t="s">
        <v>3</v>
      </c>
      <c r="B5" s="6" t="n">
        <v>215900</v>
      </c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5" t="s">
        <v>4</v>
      </c>
      <c r="B6" s="7" t="n">
        <v>0.17</v>
      </c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5" t="s">
        <v>5</v>
      </c>
      <c r="B7" s="7" t="n">
        <v>0.02</v>
      </c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5" t="s">
        <v>6</v>
      </c>
      <c r="B8" s="7" t="n">
        <v>0.035</v>
      </c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5" t="s">
        <v>7</v>
      </c>
      <c r="B9" s="7" t="n">
        <v>0.05</v>
      </c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5" t="s">
        <v>8</v>
      </c>
      <c r="B10" s="7" t="n">
        <v>0.125</v>
      </c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 t="s">
        <v>9</v>
      </c>
      <c r="B11" s="7" t="n">
        <v>0.04</v>
      </c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5" t="s">
        <v>10</v>
      </c>
      <c r="B12" s="8" t="n">
        <v>24400</v>
      </c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5" t="s">
        <v>11</v>
      </c>
      <c r="B13" s="6" t="n">
        <v>43000</v>
      </c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5" t="s">
        <v>12</v>
      </c>
      <c r="B14" s="9" t="n">
        <v>220.66</v>
      </c>
      <c r="C14" s="5"/>
      <c r="D14" s="5"/>
      <c r="E14" s="5"/>
      <c r="F14" s="5"/>
      <c r="G14" s="5"/>
      <c r="H14" s="5"/>
    </row>
    <row r="16" customFormat="false" ht="12.65" hidden="false" customHeight="false" outlineLevel="0" collapsed="false">
      <c r="A16" s="4" t="s">
        <v>13</v>
      </c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10" t="s">
        <v>14</v>
      </c>
      <c r="B17" s="11"/>
      <c r="C17" s="12" t="s">
        <v>15</v>
      </c>
      <c r="D17" s="12" t="s">
        <v>16</v>
      </c>
      <c r="E17" s="12" t="s">
        <v>17</v>
      </c>
      <c r="F17" s="12" t="s">
        <v>18</v>
      </c>
      <c r="G17" s="12" t="s">
        <v>19</v>
      </c>
      <c r="H17" s="11"/>
    </row>
    <row r="18" customFormat="false" ht="15" hidden="false" customHeight="false" outlineLevel="0" collapsed="false">
      <c r="A18" s="13" t="s">
        <v>20</v>
      </c>
      <c r="B18" s="14"/>
      <c r="C18" s="15" t="n">
        <v>0.7</v>
      </c>
      <c r="D18" s="15" t="n">
        <v>0.38</v>
      </c>
      <c r="E18" s="15" t="n">
        <v>0.25</v>
      </c>
      <c r="F18" s="15" t="n">
        <v>0.18</v>
      </c>
      <c r="G18" s="15" t="n">
        <v>0.12</v>
      </c>
      <c r="H18" s="14"/>
    </row>
    <row r="19" customFormat="false" ht="15" hidden="false" customHeight="false" outlineLevel="0" collapsed="false">
      <c r="A19" s="13" t="s">
        <v>21</v>
      </c>
      <c r="B19" s="14"/>
      <c r="C19" s="15" t="n">
        <v>0.62</v>
      </c>
      <c r="D19" s="15" t="n">
        <v>0.61</v>
      </c>
      <c r="E19" s="15" t="n">
        <v>0.6</v>
      </c>
      <c r="F19" s="15" t="n">
        <v>0.58</v>
      </c>
      <c r="G19" s="15" t="n">
        <v>0.57</v>
      </c>
      <c r="H19" s="14"/>
    </row>
    <row r="21" customFormat="false" ht="12.65" hidden="false" customHeight="false" outlineLevel="0" collapsed="false">
      <c r="A21" s="4" t="s">
        <v>22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10" t="s">
        <v>23</v>
      </c>
      <c r="B22" s="12" t="s">
        <v>24</v>
      </c>
      <c r="C22" s="12" t="s">
        <v>15</v>
      </c>
      <c r="D22" s="12" t="s">
        <v>16</v>
      </c>
      <c r="E22" s="12" t="s">
        <v>17</v>
      </c>
      <c r="F22" s="12" t="s">
        <v>18</v>
      </c>
      <c r="G22" s="12" t="s">
        <v>19</v>
      </c>
      <c r="H22" s="11"/>
    </row>
    <row r="23" customFormat="false" ht="15" hidden="false" customHeight="false" outlineLevel="0" collapsed="false">
      <c r="A23" s="13" t="s">
        <v>25</v>
      </c>
      <c r="B23" s="16" t="n">
        <f aca="false">$B$5</f>
        <v>215900</v>
      </c>
      <c r="C23" s="16" t="n">
        <f aca="false">B23*(1+C18)</f>
        <v>367030</v>
      </c>
      <c r="D23" s="16" t="n">
        <f aca="false">C23*(1+D18)</f>
        <v>506501.4</v>
      </c>
      <c r="E23" s="16" t="n">
        <f aca="false">D23*(1+E18)</f>
        <v>633126.75</v>
      </c>
      <c r="F23" s="16" t="n">
        <f aca="false">E23*(1+F18)</f>
        <v>747089.565</v>
      </c>
      <c r="G23" s="16" t="n">
        <f aca="false">F23*(1+G18)</f>
        <v>836740.3128</v>
      </c>
      <c r="H23" s="14"/>
    </row>
    <row r="24" customFormat="false" ht="15" hidden="false" customHeight="false" outlineLevel="0" collapsed="false">
      <c r="A24" s="17" t="s">
        <v>26</v>
      </c>
      <c r="B24" s="18"/>
      <c r="C24" s="19" t="n">
        <f aca="false">C23/B23-1</f>
        <v>0.7</v>
      </c>
      <c r="D24" s="19" t="n">
        <f aca="false">D23/C23-1</f>
        <v>0.38</v>
      </c>
      <c r="E24" s="19" t="n">
        <f aca="false">E23/D23-1</f>
        <v>0.25</v>
      </c>
      <c r="F24" s="19" t="n">
        <f aca="false">F23/E23-1</f>
        <v>0.18</v>
      </c>
      <c r="G24" s="19" t="n">
        <f aca="false">G23/F23-1</f>
        <v>0.12</v>
      </c>
      <c r="H24" s="14"/>
    </row>
    <row r="25" customFormat="false" ht="15" hidden="false" customHeight="false" outlineLevel="0" collapsed="false">
      <c r="A25" s="13" t="s">
        <v>27</v>
      </c>
      <c r="B25" s="16"/>
      <c r="C25" s="16" t="n">
        <f aca="false">C23*C19</f>
        <v>227558.6</v>
      </c>
      <c r="D25" s="16" t="n">
        <f aca="false">D23*D19</f>
        <v>308965.854</v>
      </c>
      <c r="E25" s="16" t="n">
        <f aca="false">E23*E19</f>
        <v>379876.05</v>
      </c>
      <c r="F25" s="16" t="n">
        <f aca="false">F23*F19</f>
        <v>433311.9477</v>
      </c>
      <c r="G25" s="16" t="n">
        <f aca="false">G23*G19</f>
        <v>476941.978296</v>
      </c>
      <c r="H25" s="14"/>
    </row>
    <row r="26" customFormat="false" ht="15" hidden="false" customHeight="false" outlineLevel="0" collapsed="false">
      <c r="A26" s="20" t="s">
        <v>28</v>
      </c>
      <c r="B26" s="18"/>
      <c r="C26" s="19" t="n">
        <f aca="false">C25/C23</f>
        <v>0.62</v>
      </c>
      <c r="D26" s="19" t="n">
        <f aca="false">D25/D23</f>
        <v>0.61</v>
      </c>
      <c r="E26" s="19" t="n">
        <f aca="false">E25/E23</f>
        <v>0.6</v>
      </c>
      <c r="F26" s="19" t="n">
        <f aca="false">F25/F23</f>
        <v>0.58</v>
      </c>
      <c r="G26" s="19" t="n">
        <f aca="false">G25/G23</f>
        <v>0.57</v>
      </c>
      <c r="H26" s="14"/>
    </row>
    <row r="27" customFormat="false" ht="15" hidden="false" customHeight="false" outlineLevel="0" collapsed="false">
      <c r="A27" s="13" t="s">
        <v>29</v>
      </c>
      <c r="B27" s="16"/>
      <c r="C27" s="16" t="n">
        <f aca="false">C25*(1-$B$6)</f>
        <v>188873.638</v>
      </c>
      <c r="D27" s="16" t="n">
        <f aca="false">D25*(1-$B$6)</f>
        <v>256441.65882</v>
      </c>
      <c r="E27" s="16" t="n">
        <f aca="false">E25*(1-$B$6)</f>
        <v>315297.1215</v>
      </c>
      <c r="F27" s="16" t="n">
        <f aca="false">F25*(1-$B$6)</f>
        <v>359648.916591</v>
      </c>
      <c r="G27" s="16" t="n">
        <f aca="false">G25*(1-$B$6)</f>
        <v>395861.84198568</v>
      </c>
      <c r="H27" s="14"/>
    </row>
    <row r="28" customFormat="false" ht="15" hidden="false" customHeight="false" outlineLevel="0" collapsed="false">
      <c r="A28" s="21" t="s">
        <v>30</v>
      </c>
      <c r="B28" s="16"/>
      <c r="C28" s="16" t="n">
        <f aca="false">C23*$B$7</f>
        <v>7340.6</v>
      </c>
      <c r="D28" s="16" t="n">
        <f aca="false">D23*$B$7</f>
        <v>10130.028</v>
      </c>
      <c r="E28" s="16" t="n">
        <f aca="false">E23*$B$7</f>
        <v>12662.535</v>
      </c>
      <c r="F28" s="16" t="n">
        <f aca="false">F23*$B$7</f>
        <v>14941.7913</v>
      </c>
      <c r="G28" s="16" t="n">
        <f aca="false">G23*$B$7</f>
        <v>16734.806256</v>
      </c>
      <c r="H28" s="14"/>
    </row>
    <row r="29" customFormat="false" ht="15" hidden="false" customHeight="false" outlineLevel="0" collapsed="false">
      <c r="A29" s="21" t="s">
        <v>31</v>
      </c>
      <c r="B29" s="16"/>
      <c r="C29" s="16" t="n">
        <f aca="false">-C23*$B$8</f>
        <v>-12846.05</v>
      </c>
      <c r="D29" s="16" t="n">
        <f aca="false">-D23*$B$8</f>
        <v>-17727.549</v>
      </c>
      <c r="E29" s="16" t="n">
        <f aca="false">-E23*$B$8</f>
        <v>-22159.43625</v>
      </c>
      <c r="F29" s="16" t="n">
        <f aca="false">-F23*$B$8</f>
        <v>-26148.134775</v>
      </c>
      <c r="G29" s="16" t="n">
        <f aca="false">-G23*$B$8</f>
        <v>-29285.910948</v>
      </c>
      <c r="H29" s="14"/>
    </row>
    <row r="30" customFormat="false" ht="15" hidden="false" customHeight="false" outlineLevel="0" collapsed="false">
      <c r="A30" s="21" t="s">
        <v>32</v>
      </c>
      <c r="B30" s="16"/>
      <c r="C30" s="16" t="n">
        <f aca="false">-(C23-B23)*$B$9</f>
        <v>-7556.5</v>
      </c>
      <c r="D30" s="16" t="n">
        <f aca="false">-(D23-C23)*$B$9</f>
        <v>-6973.57</v>
      </c>
      <c r="E30" s="16" t="n">
        <f aca="false">-(E23-D23)*$B$9</f>
        <v>-6331.2675</v>
      </c>
      <c r="F30" s="16" t="n">
        <f aca="false">-(F23-E23)*$B$9</f>
        <v>-5698.14075</v>
      </c>
      <c r="G30" s="16" t="n">
        <f aca="false">-(G23-F23)*$B$9</f>
        <v>-4482.53739000001</v>
      </c>
      <c r="H30" s="14"/>
    </row>
    <row r="31" customFormat="false" ht="15" hidden="false" customHeight="false" outlineLevel="0" collapsed="false">
      <c r="A31" s="22" t="s">
        <v>33</v>
      </c>
      <c r="B31" s="23"/>
      <c r="C31" s="23" t="n">
        <f aca="false">C27+C28+C29+C30</f>
        <v>175811.688</v>
      </c>
      <c r="D31" s="23" t="n">
        <f aca="false">D27+D28+D29+D30</f>
        <v>241870.56782</v>
      </c>
      <c r="E31" s="23" t="n">
        <f aca="false">E27+E28+E29+E30</f>
        <v>299468.95275</v>
      </c>
      <c r="F31" s="23" t="n">
        <f aca="false">F27+F28+F29+F30</f>
        <v>342744.432366</v>
      </c>
      <c r="G31" s="23" t="n">
        <f aca="false">G27+G28+G29+G30</f>
        <v>378828.19990368</v>
      </c>
      <c r="H31" s="24"/>
    </row>
    <row r="32" customFormat="false" ht="15" hidden="false" customHeight="false" outlineLevel="0" collapsed="false">
      <c r="A32" s="13" t="s">
        <v>34</v>
      </c>
      <c r="B32" s="14"/>
      <c r="C32" s="25" t="n">
        <v>1</v>
      </c>
      <c r="D32" s="25" t="n">
        <v>2</v>
      </c>
      <c r="E32" s="25" t="n">
        <v>3</v>
      </c>
      <c r="F32" s="25" t="n">
        <v>4</v>
      </c>
      <c r="G32" s="25" t="n">
        <v>5</v>
      </c>
      <c r="H32" s="14"/>
    </row>
    <row r="33" customFormat="false" ht="15" hidden="false" customHeight="false" outlineLevel="0" collapsed="false">
      <c r="A33" s="13" t="s">
        <v>35</v>
      </c>
      <c r="B33" s="14"/>
      <c r="C33" s="26" t="n">
        <f aca="false">1/(1+$B$10)^C32</f>
        <v>0.888888888888889</v>
      </c>
      <c r="D33" s="26" t="n">
        <f aca="false">1/(1+$B$10)^D32</f>
        <v>0.790123456790123</v>
      </c>
      <c r="E33" s="26" t="n">
        <f aca="false">1/(1+$B$10)^E32</f>
        <v>0.702331961591221</v>
      </c>
      <c r="F33" s="26" t="n">
        <f aca="false">1/(1+$B$10)^F32</f>
        <v>0.624295076969974</v>
      </c>
      <c r="G33" s="26" t="n">
        <f aca="false">1/(1+$B$10)^G32</f>
        <v>0.554928957306644</v>
      </c>
      <c r="H33" s="14"/>
    </row>
    <row r="34" customFormat="false" ht="15" hidden="false" customHeight="false" outlineLevel="0" collapsed="false">
      <c r="A34" s="27" t="s">
        <v>36</v>
      </c>
      <c r="B34" s="24"/>
      <c r="C34" s="23" t="n">
        <f aca="false">C31*C33</f>
        <v>156277.056</v>
      </c>
      <c r="D34" s="23" t="n">
        <f aca="false">D31*D33</f>
        <v>191107.609141728</v>
      </c>
      <c r="E34" s="23" t="n">
        <f aca="false">E31*E33</f>
        <v>210326.617020576</v>
      </c>
      <c r="F34" s="23" t="n">
        <f aca="false">F31*F33</f>
        <v>213973.661784962</v>
      </c>
      <c r="G34" s="23" t="n">
        <f aca="false">G31*G33</f>
        <v>210222.737970902</v>
      </c>
      <c r="H34" s="24"/>
    </row>
    <row r="36" customFormat="false" ht="12.65" hidden="false" customHeight="false" outlineLevel="0" collapsed="false">
      <c r="A36" s="4" t="s">
        <v>37</v>
      </c>
      <c r="B36" s="4"/>
      <c r="C36" s="4"/>
      <c r="D36" s="4"/>
      <c r="E36" s="4"/>
      <c r="F36" s="4"/>
      <c r="G36" s="4"/>
      <c r="H36" s="4"/>
    </row>
    <row r="37" customFormat="false" ht="15" hidden="false" customHeight="false" outlineLevel="0" collapsed="false">
      <c r="A37" s="21" t="s">
        <v>38</v>
      </c>
      <c r="B37" s="16" t="n">
        <f aca="false">G31</f>
        <v>378828.19990368</v>
      </c>
      <c r="C37" s="14"/>
      <c r="D37" s="14"/>
      <c r="E37" s="14"/>
      <c r="F37" s="14"/>
      <c r="G37" s="14"/>
      <c r="H37" s="14"/>
    </row>
    <row r="38" customFormat="false" ht="15" hidden="false" customHeight="false" outlineLevel="0" collapsed="false">
      <c r="A38" s="13" t="s">
        <v>39</v>
      </c>
      <c r="B38" s="16" t="n">
        <f aca="false">G31*(1+$B$11)</f>
        <v>393981.327899827</v>
      </c>
      <c r="C38" s="14"/>
      <c r="D38" s="14"/>
      <c r="E38" s="14"/>
      <c r="F38" s="14"/>
      <c r="G38" s="14"/>
      <c r="H38" s="14"/>
    </row>
    <row r="39" customFormat="false" ht="15" hidden="false" customHeight="false" outlineLevel="0" collapsed="false">
      <c r="A39" s="13" t="s">
        <v>40</v>
      </c>
      <c r="B39" s="16" t="n">
        <f aca="false">B38/($B$10-$B$11)</f>
        <v>4635074.44588032</v>
      </c>
      <c r="C39" s="14"/>
      <c r="D39" s="14"/>
      <c r="E39" s="14"/>
      <c r="F39" s="14"/>
      <c r="G39" s="14"/>
      <c r="H39" s="14"/>
    </row>
    <row r="40" customFormat="false" ht="15" hidden="false" customHeight="false" outlineLevel="0" collapsed="false">
      <c r="A40" s="13" t="s">
        <v>41</v>
      </c>
      <c r="B40" s="16" t="n">
        <f aca="false">B39*G33</f>
        <v>2572137.02929103</v>
      </c>
      <c r="C40" s="14"/>
      <c r="D40" s="14"/>
      <c r="E40" s="14"/>
      <c r="F40" s="14"/>
      <c r="G40" s="14"/>
      <c r="H40" s="14"/>
    </row>
    <row r="41" customFormat="false" ht="15" hidden="false" customHeight="false" outlineLevel="0" collapsed="false">
      <c r="A41" s="21" t="s">
        <v>42</v>
      </c>
      <c r="B41" s="28" t="n">
        <f aca="false">B40/B46</f>
        <v>0.72372106664238</v>
      </c>
      <c r="C41" s="14"/>
      <c r="D41" s="14"/>
      <c r="E41" s="14"/>
      <c r="F41" s="14"/>
      <c r="G41" s="14"/>
      <c r="H41" s="14"/>
    </row>
    <row r="43" customFormat="false" ht="12.65" hidden="false" customHeight="false" outlineLevel="0" collapsed="false">
      <c r="A43" s="4" t="s">
        <v>43</v>
      </c>
      <c r="B43" s="4"/>
      <c r="C43" s="4"/>
      <c r="D43" s="4"/>
      <c r="E43" s="4"/>
      <c r="F43" s="4"/>
      <c r="G43" s="4"/>
      <c r="H43" s="4"/>
    </row>
    <row r="44" customFormat="false" ht="15" hidden="false" customHeight="false" outlineLevel="0" collapsed="false">
      <c r="A44" s="13" t="s">
        <v>44</v>
      </c>
      <c r="B44" s="16" t="n">
        <f aca="false">SUM(C34:G34)</f>
        <v>981907.681918168</v>
      </c>
      <c r="C44" s="29"/>
      <c r="D44" s="29"/>
      <c r="E44" s="29"/>
      <c r="F44" s="29"/>
      <c r="G44" s="29"/>
      <c r="H44" s="29"/>
    </row>
    <row r="45" customFormat="false" ht="15" hidden="false" customHeight="false" outlineLevel="0" collapsed="false">
      <c r="A45" s="21" t="s">
        <v>45</v>
      </c>
      <c r="B45" s="16" t="n">
        <f aca="false">B40</f>
        <v>2572137.02929103</v>
      </c>
      <c r="C45" s="29"/>
      <c r="D45" s="29"/>
      <c r="E45" s="29"/>
      <c r="F45" s="29"/>
      <c r="G45" s="29"/>
      <c r="H45" s="29"/>
    </row>
    <row r="46" customFormat="false" ht="15" hidden="false" customHeight="false" outlineLevel="0" collapsed="false">
      <c r="A46" s="22" t="s">
        <v>46</v>
      </c>
      <c r="B46" s="23" t="n">
        <f aca="false">B44+B45</f>
        <v>3554044.7112092</v>
      </c>
      <c r="C46" s="30"/>
      <c r="D46" s="30"/>
      <c r="E46" s="30"/>
      <c r="F46" s="30"/>
      <c r="G46" s="30"/>
      <c r="H46" s="30"/>
    </row>
    <row r="47" customFormat="false" ht="15" hidden="false" customHeight="false" outlineLevel="0" collapsed="false">
      <c r="A47" s="21" t="s">
        <v>47</v>
      </c>
      <c r="B47" s="16" t="n">
        <f aca="false">$B$13</f>
        <v>43000</v>
      </c>
      <c r="C47" s="29"/>
      <c r="D47" s="29"/>
      <c r="E47" s="29"/>
      <c r="F47" s="29"/>
      <c r="G47" s="29"/>
      <c r="H47" s="29"/>
    </row>
    <row r="48" customFormat="false" ht="15" hidden="false" customHeight="false" outlineLevel="0" collapsed="false">
      <c r="A48" s="22" t="s">
        <v>48</v>
      </c>
      <c r="B48" s="23" t="n">
        <f aca="false">B46+B47</f>
        <v>3597044.7112092</v>
      </c>
      <c r="C48" s="30"/>
      <c r="D48" s="30"/>
      <c r="E48" s="30"/>
      <c r="F48" s="30"/>
      <c r="G48" s="30"/>
      <c r="H48" s="30"/>
    </row>
    <row r="49" customFormat="false" ht="15" hidden="false" customHeight="false" outlineLevel="0" collapsed="false">
      <c r="A49" s="21" t="s">
        <v>49</v>
      </c>
      <c r="B49" s="31" t="n">
        <f aca="false">$B$12</f>
        <v>24400</v>
      </c>
      <c r="C49" s="29"/>
      <c r="D49" s="29"/>
      <c r="E49" s="29"/>
      <c r="F49" s="29"/>
      <c r="G49" s="29"/>
      <c r="H49" s="29"/>
    </row>
    <row r="50" customFormat="false" ht="15" hidden="false" customHeight="false" outlineLevel="0" collapsed="false">
      <c r="A50" s="22" t="s">
        <v>50</v>
      </c>
      <c r="B50" s="32" t="n">
        <f aca="false">B48/B49</f>
        <v>147.419865213492</v>
      </c>
      <c r="C50" s="30"/>
      <c r="D50" s="30"/>
      <c r="E50" s="30"/>
      <c r="F50" s="30"/>
      <c r="G50" s="30"/>
      <c r="H50" s="30"/>
    </row>
    <row r="51" customFormat="false" ht="15" hidden="false" customHeight="false" outlineLevel="0" collapsed="false">
      <c r="A51" s="13" t="s">
        <v>51</v>
      </c>
      <c r="B51" s="33" t="n">
        <f aca="false">$B$14</f>
        <v>220.66</v>
      </c>
      <c r="C51" s="29"/>
      <c r="D51" s="29"/>
      <c r="E51" s="29"/>
      <c r="F51" s="29"/>
      <c r="G51" s="29"/>
      <c r="H51" s="29"/>
    </row>
    <row r="52" customFormat="false" ht="15" hidden="false" customHeight="false" outlineLevel="0" collapsed="false">
      <c r="A52" s="22" t="s">
        <v>52</v>
      </c>
      <c r="B52" s="34" t="n">
        <f aca="false">B50/B51-1</f>
        <v>-0.331913961689967</v>
      </c>
      <c r="C52" s="30"/>
      <c r="D52" s="30"/>
      <c r="E52" s="30"/>
      <c r="F52" s="30"/>
      <c r="G52" s="30"/>
      <c r="H52" s="30"/>
    </row>
    <row r="54" customFormat="false" ht="12.65" hidden="false" customHeight="false" outlineLevel="0" collapsed="false">
      <c r="A54" s="4" t="s">
        <v>53</v>
      </c>
      <c r="B54" s="4"/>
      <c r="C54" s="4"/>
      <c r="D54" s="4"/>
      <c r="E54" s="4"/>
      <c r="F54" s="4"/>
      <c r="G54" s="4"/>
      <c r="H54" s="4"/>
    </row>
    <row r="55" customFormat="false" ht="15" hidden="false" customHeight="false" outlineLevel="0" collapsed="false">
      <c r="A55" s="12" t="s">
        <v>54</v>
      </c>
      <c r="B55" s="35" t="n">
        <v>0.03</v>
      </c>
      <c r="C55" s="35" t="n">
        <v>0.035</v>
      </c>
      <c r="D55" s="35" t="n">
        <v>0.04</v>
      </c>
      <c r="E55" s="35" t="n">
        <v>0.045</v>
      </c>
      <c r="F55" s="35" t="n">
        <v>0.05</v>
      </c>
      <c r="G55" s="30"/>
      <c r="H55" s="30"/>
    </row>
    <row r="56" customFormat="false" ht="15" hidden="false" customHeight="false" outlineLevel="0" collapsed="false">
      <c r="A56" s="35" t="n">
        <v>0.115</v>
      </c>
      <c r="B56" s="33" t="n">
        <f aca="false">((C31/(1+$A56)^C32+D31/(1+$A56)^D32+E31/(1+$A56)^E32+F31/(1+$A56)^F32+G31/(1+$A56)^G32)+((G31*(1+B$55)/($A56-B$55))/(1+$A56)^G32)+$B$13)/$B$12</f>
        <v>152.317461195181</v>
      </c>
      <c r="C56" s="33" t="n">
        <f aca="false">((C31/(1+$A56)^C32+D31/(1+$A56)^D32+E31/(1+$A56)^E32+F31/(1+$A56)^F32+G31/(1+$A56)^G32)+((G31*(1+C$55)/($A56-C$55))/(1+$A56)^G32)+$B$13)/$B$12</f>
        <v>159.703542705892</v>
      </c>
      <c r="D56" s="33" t="n">
        <f aca="false">((C31/(1+$A56)^C32+D31/(1+$A56)^D32+E31/(1+$A56)^E32+F31/(1+$A56)^F32+G31/(1+$A56)^G32)+((G31*(1+D$55)/($A56-D$55))/(1+$A56)^G32)+$B$13)/$B$12</f>
        <v>168.074435084698</v>
      </c>
      <c r="E56" s="33" t="n">
        <f aca="false">((C31/(1+$A56)^C32+D31/(1+$A56)^D32+E31/(1+$A56)^E32+F31/(1+$A56)^F32+G31/(1+$A56)^G32)+((G31*(1+E$55)/($A56-E$55))/(1+$A56)^G32)+$B$13)/$B$12</f>
        <v>177.641169231904</v>
      </c>
      <c r="F56" s="33" t="n">
        <f aca="false">((C31/(1+$A56)^C32+D31/(1+$A56)^D32+E31/(1+$A56)^E32+F31/(1+$A56)^F32+G31/(1+$A56)^G32)+((G31*(1+F$55)/($A56-F$55))/(1+$A56)^G32)+$B$13)/$B$12</f>
        <v>188.679708632527</v>
      </c>
      <c r="G56" s="14"/>
      <c r="H56" s="14"/>
    </row>
    <row r="57" customFormat="false" ht="15" hidden="false" customHeight="false" outlineLevel="0" collapsed="false">
      <c r="A57" s="35" t="n">
        <v>0.12</v>
      </c>
      <c r="B57" s="33" t="n">
        <f aca="false">((C31/(1+$A57)^C32+D31/(1+$A57)^D32+E31/(1+$A57)^E32+F31/(1+$A57)^F32+G31/(1+$A57)^G32)+((G31*(1+B$55)/($A57-B$55))/(1+$A57)^G32)+$B$13)/$B$12</f>
        <v>143.393152987719</v>
      </c>
      <c r="C57" s="33" t="n">
        <f aca="false">((C31/(1+$A57)^C32+D31/(1+$A57)^D32+E31/(1+$A57)^E32+F31/(1+$A57)^F32+G31/(1+$A57)^G32)+((G31*(1+C$55)/($A57-C$55))/(1+$A57)^G32)+$B$13)/$B$12</f>
        <v>149.842102137198</v>
      </c>
      <c r="D57" s="33" t="n">
        <f aca="false">((C31/(1+$A57)^C32+D31/(1+$A57)^D32+E31/(1+$A57)^E32+F31/(1+$A57)^F32+G31/(1+$A57)^G32)+((G31*(1+D$55)/($A57-D$55))/(1+$A57)^G32)+$B$13)/$B$12</f>
        <v>157.097169930362</v>
      </c>
      <c r="E57" s="33" t="n">
        <f aca="false">((C31/(1+$A57)^C32+D31/(1+$A57)^D32+E31/(1+$A57)^E32+F31/(1+$A57)^F32+G31/(1+$A57)^G32)+((G31*(1+E$55)/($A57-E$55))/(1+$A57)^G32)+$B$13)/$B$12</f>
        <v>165.319580095947</v>
      </c>
      <c r="F57" s="33" t="n">
        <f aca="false">((C31/(1+$A57)^C32+D31/(1+$A57)^D32+E31/(1+$A57)^E32+F31/(1+$A57)^F32+G31/(1+$A57)^G32)+((G31*(1+F$55)/($A57-F$55))/(1+$A57)^G32)+$B$13)/$B$12</f>
        <v>174.716620285188</v>
      </c>
      <c r="G57" s="14"/>
      <c r="H57" s="14"/>
    </row>
    <row r="58" customFormat="false" ht="15" hidden="false" customHeight="false" outlineLevel="0" collapsed="false">
      <c r="A58" s="35" t="n">
        <v>0.125</v>
      </c>
      <c r="B58" s="33" t="n">
        <f aca="false">((C31/(1+$A58)^C32+D31/(1+$A58)^D32+E31/(1+$A58)^E32+F31/(1+$A58)^F32+G31/(1+$A58)^G32)+((G31*(1+B$55)/($A58-B$55))/(1+$A58)^G32)+$B$13)/$B$12</f>
        <v>135.416587529014</v>
      </c>
      <c r="C58" s="33" t="n">
        <f aca="false">((C31/(1+$A58)^C32+D31/(1+$A58)^D32+E31/(1+$A58)^E32+F31/(1+$A58)^F32+G31/(1+$A58)^G32)+((G31*(1+C$55)/($A58-C$55))/(1+$A58)^G32)+$B$13)/$B$12</f>
        <v>141.084801991129</v>
      </c>
      <c r="D58" s="32" t="n">
        <f aca="false">((C31/(1+$A58)^C32+D31/(1+$A58)^D32+E31/(1+$A58)^E32+F31/(1+$A58)^F32+G31/(1+$A58)^G32)+((G31*(1+D$55)/($A58-D$55))/(1+$A58)^G32)+$B$13)/$B$12</f>
        <v>147.419865213492</v>
      </c>
      <c r="E58" s="33" t="n">
        <f aca="false">((C31/(1+$A58)^C32+D31/(1+$A58)^D32+E31/(1+$A58)^E32+F31/(1+$A58)^F32+G31/(1+$A58)^G32)+((G31*(1+E$55)/($A58-E$55))/(1+$A58)^G32)+$B$13)/$B$12</f>
        <v>154.546811338651</v>
      </c>
      <c r="F58" s="33" t="n">
        <f aca="false">((C31/(1+$A58)^C32+D31/(1+$A58)^D32+E31/(1+$A58)^E32+F31/(1+$A58)^F32+G31/(1+$A58)^G32)+((G31*(1+F$55)/($A58-F$55))/(1+$A58)^G32)+$B$13)/$B$12</f>
        <v>162.624016947164</v>
      </c>
      <c r="G58" s="14"/>
      <c r="H58" s="14"/>
    </row>
    <row r="59" customFormat="false" ht="15" hidden="false" customHeight="false" outlineLevel="0" collapsed="false">
      <c r="A59" s="35" t="n">
        <v>0.13</v>
      </c>
      <c r="B59" s="33" t="n">
        <f aca="false">((C31/(1+$A59)^C32+D31/(1+$A59)^D32+E31/(1+$A59)^E32+F31/(1+$A59)^F32+G31/(1+$A59)^G32)+((G31*(1+B$55)/($A59-B$55))/(1+$A59)^G32)+$B$13)/$B$12</f>
        <v>128.245433557955</v>
      </c>
      <c r="C59" s="33" t="n">
        <f aca="false">((C31/(1+$A59)^C32+D31/(1+$A59)^D32+E31/(1+$A59)^E32+F31/(1+$A59)^F32+G31/(1+$A59)^G32)+((G31*(1+C$55)/($A59-C$55))/(1+$A59)^G32)+$B$13)/$B$12</f>
        <v>133.257133937032</v>
      </c>
      <c r="D59" s="33" t="n">
        <f aca="false">((C31/(1+$A59)^C32+D31/(1+$A59)^D32+E31/(1+$A59)^E32+F31/(1+$A59)^F32+G31/(1+$A59)^G32)+((G31*(1+D$55)/($A59-D$55))/(1+$A59)^G32)+$B$13)/$B$12</f>
        <v>138.825689913783</v>
      </c>
      <c r="E59" s="33" t="n">
        <f aca="false">((C31/(1+$A59)^C32+D31/(1+$A59)^D32+E31/(1+$A59)^E32+F31/(1+$A59)^F32+G31/(1+$A59)^G32)+((G31*(1+E$55)/($A59-E$55))/(1+$A59)^G32)+$B$13)/$B$12</f>
        <v>145.049370123094</v>
      </c>
      <c r="F59" s="33" t="n">
        <f aca="false">((C31/(1+$A59)^C32+D31/(1+$A59)^D32+E31/(1+$A59)^E32+F31/(1+$A59)^F32+G31/(1+$A59)^G32)+((G31*(1+F$55)/($A59-F$55))/(1+$A59)^G32)+$B$13)/$B$12</f>
        <v>152.051010358569</v>
      </c>
      <c r="G59" s="14"/>
      <c r="H59" s="14"/>
    </row>
    <row r="60" customFormat="false" ht="15" hidden="false" customHeight="false" outlineLevel="0" collapsed="false">
      <c r="A60" s="35" t="n">
        <v>0.135</v>
      </c>
      <c r="B60" s="33" t="n">
        <f aca="false">((C31/(1+$A60)^C32+D31/(1+$A60)^D32+E31/(1+$A60)^E32+F31/(1+$A60)^F32+G31/(1+$A60)^G32)+((G31*(1+B$55)/($A60-B$55))/(1+$A60)^G32)+$B$13)/$B$12</f>
        <v>121.76447483621</v>
      </c>
      <c r="C60" s="33" t="n">
        <f aca="false">((C31/(1+$A60)^C32+D31/(1+$A60)^D32+E31/(1+$A60)^E32+F31/(1+$A60)^F32+G31/(1+$A60)^G32)+((G31*(1+C$55)/($A60-C$55))/(1+$A60)^G32)+$B$13)/$B$12</f>
        <v>126.219495606447</v>
      </c>
      <c r="D60" s="33" t="n">
        <f aca="false">((C31/(1+$A60)^C32+D31/(1+$A60)^D32+E31/(1+$A60)^E32+F31/(1+$A60)^F32+G31/(1+$A60)^G32)+((G31*(1+D$55)/($A60-D$55))/(1+$A60)^G32)+$B$13)/$B$12</f>
        <v>131.143465931446</v>
      </c>
      <c r="E60" s="33" t="n">
        <f aca="false">((C31/(1+$A60)^C32+D31/(1+$A60)^D32+E31/(1+$A60)^E32+F31/(1+$A60)^F32+G31/(1+$A60)^G32)+((G31*(1+E$55)/($A60-E$55))/(1+$A60)^G32)+$B$13)/$B$12</f>
        <v>136.614544070334</v>
      </c>
      <c r="F60" s="33" t="n">
        <f aca="false">((C31/(1+$A60)^C32+D31/(1+$A60)^D32+E31/(1+$A60)^E32+F31/(1+$A60)^F32+G31/(1+$A60)^G32)+((G31*(1+F$55)/($A60-F$55))/(1+$A60)^G32)+$B$13)/$B$12</f>
        <v>142.729278460855</v>
      </c>
      <c r="G60" s="14"/>
      <c r="H60" s="14"/>
    </row>
    <row r="62" customFormat="false" ht="11.9" hidden="false" customHeight="false" outlineLevel="0" collapsed="false">
      <c r="A62" s="36" t="s">
        <v>55</v>
      </c>
      <c r="B62" s="36"/>
      <c r="C62" s="36"/>
      <c r="D62" s="36"/>
      <c r="E62" s="36"/>
      <c r="F62" s="36"/>
      <c r="G62" s="36"/>
      <c r="H62" s="36"/>
    </row>
    <row r="64" customFormat="false" ht="12.65" hidden="false" customHeight="false" outlineLevel="0" collapsed="false">
      <c r="A64" s="4" t="s">
        <v>56</v>
      </c>
      <c r="B64" s="4"/>
      <c r="C64" s="4"/>
      <c r="D64" s="4"/>
      <c r="E64" s="4"/>
      <c r="F64" s="4"/>
      <c r="G64" s="4"/>
      <c r="H64" s="4"/>
    </row>
    <row r="65" customFormat="false" ht="15" hidden="false" customHeight="true" outlineLevel="0" collapsed="false">
      <c r="A65" s="37" t="s">
        <v>57</v>
      </c>
      <c r="B65" s="37"/>
      <c r="C65" s="37"/>
      <c r="D65" s="37"/>
      <c r="E65" s="37"/>
      <c r="F65" s="37"/>
      <c r="G65" s="37"/>
      <c r="H65" s="37"/>
    </row>
    <row r="66" customFormat="false" ht="15" hidden="false" customHeight="true" outlineLevel="0" collapsed="false">
      <c r="A66" s="37" t="s">
        <v>58</v>
      </c>
      <c r="B66" s="37"/>
      <c r="C66" s="37"/>
      <c r="D66" s="37"/>
      <c r="E66" s="37"/>
      <c r="F66" s="37"/>
      <c r="G66" s="37"/>
      <c r="H66" s="37"/>
    </row>
    <row r="67" customFormat="false" ht="15" hidden="false" customHeight="true" outlineLevel="0" collapsed="false">
      <c r="A67" s="37" t="s">
        <v>59</v>
      </c>
      <c r="B67" s="37"/>
      <c r="C67" s="37"/>
      <c r="D67" s="37"/>
      <c r="E67" s="37"/>
      <c r="F67" s="37"/>
      <c r="G67" s="37"/>
      <c r="H67" s="37"/>
    </row>
    <row r="68" customFormat="false" ht="15" hidden="false" customHeight="true" outlineLevel="0" collapsed="false">
      <c r="A68" s="37" t="s">
        <v>60</v>
      </c>
      <c r="B68" s="37"/>
      <c r="C68" s="37"/>
      <c r="D68" s="37"/>
      <c r="E68" s="37"/>
      <c r="F68" s="37"/>
      <c r="G68" s="37"/>
      <c r="H68" s="37"/>
    </row>
    <row r="69" customFormat="false" ht="15" hidden="false" customHeight="true" outlineLevel="0" collapsed="false">
      <c r="A69" s="37" t="s">
        <v>61</v>
      </c>
      <c r="B69" s="37"/>
      <c r="C69" s="37"/>
      <c r="D69" s="37"/>
      <c r="E69" s="37"/>
      <c r="F69" s="37"/>
      <c r="G69" s="37"/>
      <c r="H69" s="37"/>
    </row>
    <row r="70" customFormat="false" ht="15" hidden="false" customHeight="true" outlineLevel="0" collapsed="false">
      <c r="A70" s="37" t="s">
        <v>62</v>
      </c>
      <c r="B70" s="37"/>
      <c r="C70" s="37"/>
      <c r="D70" s="37"/>
      <c r="E70" s="37"/>
      <c r="F70" s="37"/>
      <c r="G70" s="37"/>
      <c r="H70" s="37"/>
    </row>
    <row r="71" customFormat="false" ht="15" hidden="false" customHeight="true" outlineLevel="0" collapsed="false">
      <c r="A71" s="37" t="s">
        <v>63</v>
      </c>
      <c r="B71" s="37"/>
      <c r="C71" s="37"/>
      <c r="D71" s="37"/>
      <c r="E71" s="37"/>
      <c r="F71" s="37"/>
      <c r="G71" s="37"/>
      <c r="H71" s="37"/>
    </row>
  </sheetData>
  <mergeCells count="17">
    <mergeCell ref="A1:H1"/>
    <mergeCell ref="A2:H2"/>
    <mergeCell ref="A4:H4"/>
    <mergeCell ref="A16:H16"/>
    <mergeCell ref="A21:H21"/>
    <mergeCell ref="A36:H36"/>
    <mergeCell ref="A43:H43"/>
    <mergeCell ref="A54:H54"/>
    <mergeCell ref="A62:H62"/>
    <mergeCell ref="A64:H64"/>
    <mergeCell ref="A65:H65"/>
    <mergeCell ref="A66:H66"/>
    <mergeCell ref="A67:H67"/>
    <mergeCell ref="A68:H68"/>
    <mergeCell ref="A69:H69"/>
    <mergeCell ref="A70:H70"/>
    <mergeCell ref="A71:H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2026-05-21T09:21:22Z</dcterms:created>
  <dc:creator>openpyxl</dc:creator>
  <dc:description/>
  <dc:language>en-US</dc:language>
  <cp:lastModifiedBy/>
  <dcterms:modified xsi:type="dcterms:W3CDTF">2026-05-21T09:21:22Z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